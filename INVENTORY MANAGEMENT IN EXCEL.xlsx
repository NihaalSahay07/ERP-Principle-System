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drawings/drawing7.xml" ContentType="application/vnd.openxmlformats-officedocument.drawing+xml"/>
  <Override PartName="/xl/tables/table5.xml" ContentType="application/vnd.openxmlformats-officedocument.spreadsheetml.table+xml"/>
  <Override PartName="/xl/drawings/drawing8.xml" ContentType="application/vnd.openxmlformats-officedocument.drawing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arsh Vardhan Pandey\Downloads\"/>
    </mc:Choice>
  </mc:AlternateContent>
  <xr:revisionPtr revIDLastSave="0" documentId="8_{FD2F006E-F349-49C9-83FC-1AAE52132D32}" xr6:coauthVersionLast="47" xr6:coauthVersionMax="47" xr10:uidLastSave="{00000000-0000-0000-0000-000000000000}"/>
  <bookViews>
    <workbookView xWindow="-120" yWindow="-120" windowWidth="29040" windowHeight="15720" xr2:uid="{FF1DDED3-4CCB-41E8-892F-914D46DDFAD6}"/>
  </bookViews>
  <sheets>
    <sheet name="DashBoard " sheetId="2" r:id="rId1"/>
    <sheet name="Customers" sheetId="1" r:id="rId2"/>
    <sheet name="Product" sheetId="3" r:id="rId3"/>
    <sheet name="Vendors" sheetId="4" r:id="rId4"/>
    <sheet name="New Entry" sheetId="5" r:id="rId5"/>
    <sheet name="Purchase " sheetId="6" r:id="rId6"/>
    <sheet name="Sales" sheetId="7" r:id="rId7"/>
    <sheet name="Inventory" sheetId="8" r:id="rId8"/>
    <sheet name="Pivot" sheetId="10" r:id="rId9"/>
  </sheets>
  <definedNames>
    <definedName name="cid">CustomersData[Cust_ID]</definedName>
    <definedName name="hsncode">Table46[HSN Code]</definedName>
  </definedNames>
  <calcPr calcId="191029"/>
  <pivotCaches>
    <pivotCache cacheId="7" r:id="rId10"/>
    <pivotCache cacheId="10" r:id="rId11"/>
    <pivotCache cacheId="13" r:id="rId12"/>
    <pivotCache cacheId="23" r:id="rId13"/>
    <pivotCache cacheId="24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8" l="1"/>
  <c r="F6" i="8"/>
  <c r="G6" i="8"/>
  <c r="H6" i="8"/>
  <c r="J6" i="8" s="1"/>
  <c r="I6" i="8"/>
  <c r="E7" i="8"/>
  <c r="F7" i="8"/>
  <c r="G7" i="8"/>
  <c r="H7" i="8"/>
  <c r="I7" i="8"/>
  <c r="J7" i="8"/>
  <c r="K7" i="8" s="1"/>
  <c r="E8" i="8"/>
  <c r="F8" i="8"/>
  <c r="H8" i="8" s="1"/>
  <c r="G8" i="8"/>
  <c r="E9" i="8"/>
  <c r="F9" i="8"/>
  <c r="G9" i="8"/>
  <c r="H9" i="8"/>
  <c r="J9" i="8" s="1"/>
  <c r="I9" i="8"/>
  <c r="E10" i="8"/>
  <c r="F10" i="8"/>
  <c r="I10" i="8" s="1"/>
  <c r="G10" i="8"/>
  <c r="H10" i="8"/>
  <c r="E11" i="8"/>
  <c r="F11" i="8"/>
  <c r="H11" i="8" s="1"/>
  <c r="G11" i="8"/>
  <c r="E12" i="8"/>
  <c r="F12" i="8"/>
  <c r="G12" i="8"/>
  <c r="H12" i="8"/>
  <c r="J12" i="8" s="1"/>
  <c r="L13" i="8" s="1"/>
  <c r="I12" i="8"/>
  <c r="E13" i="8"/>
  <c r="F13" i="8"/>
  <c r="G13" i="8"/>
  <c r="H13" i="8"/>
  <c r="J13" i="8" s="1"/>
  <c r="L14" i="8" s="1"/>
  <c r="I13" i="8"/>
  <c r="E14" i="8"/>
  <c r="F14" i="8"/>
  <c r="G14" i="8"/>
  <c r="H14" i="8"/>
  <c r="J14" i="8" s="1"/>
  <c r="I14" i="8"/>
  <c r="E15" i="8"/>
  <c r="F15" i="8"/>
  <c r="G15" i="8"/>
  <c r="H15" i="8"/>
  <c r="I15" i="8"/>
  <c r="J15" i="8"/>
  <c r="K15" i="8" s="1"/>
  <c r="L6" i="8"/>
  <c r="C18" i="10"/>
  <c r="M9" i="7"/>
  <c r="L9" i="7"/>
  <c r="L10" i="7"/>
  <c r="M10" i="7" s="1"/>
  <c r="L11" i="7"/>
  <c r="M11" i="7" s="1"/>
  <c r="L12" i="7"/>
  <c r="M12" i="7" s="1"/>
  <c r="L13" i="7"/>
  <c r="M13" i="7" s="1"/>
  <c r="L14" i="7"/>
  <c r="M14" i="7" s="1"/>
  <c r="L15" i="7"/>
  <c r="M15" i="7" s="1"/>
  <c r="L16" i="7"/>
  <c r="M16" i="7" s="1"/>
  <c r="L17" i="7"/>
  <c r="M17" i="7" s="1"/>
  <c r="L18" i="7"/>
  <c r="M18" i="7" s="1"/>
  <c r="H9" i="7"/>
  <c r="H10" i="7"/>
  <c r="H11" i="7"/>
  <c r="H12" i="7"/>
  <c r="H13" i="7"/>
  <c r="H14" i="7"/>
  <c r="H15" i="7"/>
  <c r="H16" i="7"/>
  <c r="H17" i="7"/>
  <c r="H18" i="7"/>
  <c r="F9" i="7"/>
  <c r="F10" i="7"/>
  <c r="F11" i="7"/>
  <c r="F12" i="7"/>
  <c r="F13" i="7"/>
  <c r="F14" i="7"/>
  <c r="F15" i="7"/>
  <c r="F16" i="7"/>
  <c r="F17" i="7"/>
  <c r="F18" i="7"/>
  <c r="E17" i="6"/>
  <c r="F17" i="6"/>
  <c r="I17" i="6"/>
  <c r="J17" i="6" s="1"/>
  <c r="E16" i="6"/>
  <c r="F16" i="6"/>
  <c r="I16" i="6"/>
  <c r="J16" i="6" s="1"/>
  <c r="F8" i="6"/>
  <c r="F9" i="6"/>
  <c r="F10" i="6"/>
  <c r="F11" i="6"/>
  <c r="F12" i="6"/>
  <c r="F13" i="6"/>
  <c r="F14" i="6"/>
  <c r="F15" i="6"/>
  <c r="I8" i="6"/>
  <c r="J8" i="6" s="1"/>
  <c r="I9" i="6"/>
  <c r="J9" i="6" s="1"/>
  <c r="I10" i="6"/>
  <c r="J10" i="6" s="1"/>
  <c r="I11" i="6"/>
  <c r="J11" i="6" s="1"/>
  <c r="I12" i="6"/>
  <c r="J12" i="6" s="1"/>
  <c r="I13" i="6"/>
  <c r="J13" i="6" s="1"/>
  <c r="I14" i="6"/>
  <c r="J14" i="6" s="1"/>
  <c r="I15" i="6"/>
  <c r="J15" i="6" s="1"/>
  <c r="E8" i="6"/>
  <c r="E9" i="6"/>
  <c r="E10" i="6"/>
  <c r="E11" i="6"/>
  <c r="E12" i="6"/>
  <c r="E13" i="6"/>
  <c r="E14" i="6"/>
  <c r="E15" i="6"/>
  <c r="C15" i="10"/>
  <c r="C12" i="10"/>
  <c r="C9" i="10"/>
  <c r="C6" i="10"/>
  <c r="C3" i="10"/>
  <c r="K12" i="8" l="1"/>
  <c r="L15" i="8"/>
  <c r="K14" i="8"/>
  <c r="K6" i="8"/>
  <c r="L7" i="8"/>
  <c r="J10" i="8"/>
  <c r="L11" i="8" s="1"/>
  <c r="K13" i="8"/>
  <c r="L10" i="8"/>
  <c r="K9" i="8"/>
  <c r="L8" i="8"/>
  <c r="I11" i="8"/>
  <c r="J11" i="8" s="1"/>
  <c r="I8" i="8"/>
  <c r="J8" i="8" s="1"/>
  <c r="K8" i="8" l="1"/>
  <c r="L9" i="8"/>
  <c r="J18" i="7"/>
  <c r="L12" i="8"/>
  <c r="K11" i="8"/>
  <c r="K10" i="8"/>
  <c r="J14" i="7"/>
  <c r="J15" i="7"/>
  <c r="J9" i="7"/>
  <c r="J11" i="7"/>
  <c r="M13" i="2" a="1"/>
  <c r="M13" i="2" s="1"/>
  <c r="J10" i="7"/>
  <c r="J13" i="7"/>
  <c r="J16" i="7"/>
  <c r="J17" i="7"/>
  <c r="J12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<sst xmlns="http://schemas.openxmlformats.org/spreadsheetml/2006/main" count="181" uniqueCount="94">
  <si>
    <t>Cust_ID</t>
  </si>
  <si>
    <t>Name</t>
  </si>
  <si>
    <t>Email</t>
  </si>
  <si>
    <t>Address</t>
  </si>
  <si>
    <t>Harsh</t>
  </si>
  <si>
    <t>Raghav</t>
  </si>
  <si>
    <t>Amit</t>
  </si>
  <si>
    <t>Jain tel</t>
  </si>
  <si>
    <t>Ram Sales</t>
  </si>
  <si>
    <t>Atul Ltd.</t>
  </si>
  <si>
    <t>Relaince</t>
  </si>
  <si>
    <t>Harsh@gmail.com</t>
  </si>
  <si>
    <t>Raghav@gmail.com</t>
  </si>
  <si>
    <t>Amit@gmail.com</t>
  </si>
  <si>
    <t>Relaince@gmail.com</t>
  </si>
  <si>
    <t>Ram@gmail.com</t>
  </si>
  <si>
    <t>Atul@gmail.com</t>
  </si>
  <si>
    <t>Jaintel@gmail.com</t>
  </si>
  <si>
    <t>Delhi,India</t>
  </si>
  <si>
    <t>12122,Palwal,HR</t>
  </si>
  <si>
    <t>Faridabad,UP</t>
  </si>
  <si>
    <t>Agra,UP</t>
  </si>
  <si>
    <t>Gurgaon,Sec-16</t>
  </si>
  <si>
    <t>Janpath,New Delhi</t>
  </si>
  <si>
    <t>Prayagraj,UP</t>
  </si>
  <si>
    <t>HSN Code</t>
  </si>
  <si>
    <t>Product Name</t>
  </si>
  <si>
    <t>Cost</t>
  </si>
  <si>
    <t>Selling Price</t>
  </si>
  <si>
    <t>N1001</t>
  </si>
  <si>
    <t>N1002</t>
  </si>
  <si>
    <t>N1003</t>
  </si>
  <si>
    <t>N1004</t>
  </si>
  <si>
    <t>Desktop</t>
  </si>
  <si>
    <t>N1005</t>
  </si>
  <si>
    <t>Mouse</t>
  </si>
  <si>
    <t>N1006</t>
  </si>
  <si>
    <t>N1007</t>
  </si>
  <si>
    <t>Camera</t>
  </si>
  <si>
    <t>N1008</t>
  </si>
  <si>
    <t>N1009</t>
  </si>
  <si>
    <t>N1010</t>
  </si>
  <si>
    <t>Tablets</t>
  </si>
  <si>
    <t>SmartWatch</t>
  </si>
  <si>
    <t>Laptop HP  i5</t>
  </si>
  <si>
    <t>Printer</t>
  </si>
  <si>
    <t>Keyboard</t>
  </si>
  <si>
    <t>Headphone</t>
  </si>
  <si>
    <t>Speaker</t>
  </si>
  <si>
    <t>Vendor Name</t>
  </si>
  <si>
    <t xml:space="preserve">Phone </t>
  </si>
  <si>
    <t>Tech01</t>
  </si>
  <si>
    <t>Faridabad</t>
  </si>
  <si>
    <t>Tech02</t>
  </si>
  <si>
    <t>Tech03</t>
  </si>
  <si>
    <t>Tech04</t>
  </si>
  <si>
    <t>Tech05</t>
  </si>
  <si>
    <t>Tech06</t>
  </si>
  <si>
    <t>Tech07</t>
  </si>
  <si>
    <t>Tech08</t>
  </si>
  <si>
    <t>Tech09</t>
  </si>
  <si>
    <t>Tech10</t>
  </si>
  <si>
    <t>New Delhi</t>
  </si>
  <si>
    <t>Gurgon</t>
  </si>
  <si>
    <t>Purchase Entry</t>
  </si>
  <si>
    <t>Sale entry</t>
  </si>
  <si>
    <t>Vendor</t>
  </si>
  <si>
    <t>Date</t>
  </si>
  <si>
    <t>Units</t>
  </si>
  <si>
    <t>Amount</t>
  </si>
  <si>
    <t>Cust_Name</t>
  </si>
  <si>
    <t>Stock(Units)</t>
  </si>
  <si>
    <t>Price</t>
  </si>
  <si>
    <t>Discount</t>
  </si>
  <si>
    <t>P Units</t>
  </si>
  <si>
    <t>S Units</t>
  </si>
  <si>
    <t>Stock</t>
  </si>
  <si>
    <t>Stock Amt</t>
  </si>
  <si>
    <t>Count of Name</t>
  </si>
  <si>
    <t>Customers</t>
  </si>
  <si>
    <t>Count of Product Name</t>
  </si>
  <si>
    <t>Products</t>
  </si>
  <si>
    <t>Sum of Amount</t>
  </si>
  <si>
    <t>Purchase Amt</t>
  </si>
  <si>
    <t>Sum of Discount</t>
  </si>
  <si>
    <t>Sale Amt</t>
  </si>
  <si>
    <t>Sum of Stock Amt</t>
  </si>
  <si>
    <t>Profit/loss</t>
  </si>
  <si>
    <t>Row Labels</t>
  </si>
  <si>
    <t>Grand Total</t>
  </si>
  <si>
    <t>Sum of S Units</t>
  </si>
  <si>
    <t>Notifications!!</t>
  </si>
  <si>
    <t>Notification</t>
  </si>
  <si>
    <t>Sum of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</si>
</sst>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₹&quot;\ 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0" fontId="0" fillId="3" borderId="0" xfId="0" applyFill="1"/>
    <xf numFmtId="0" fontId="2" fillId="2" borderId="0" xfId="1" applyFill="1"/>
    <xf numFmtId="0" fontId="0" fillId="2" borderId="0" xfId="0" applyFill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" borderId="0" xfId="0" applyNumberFormat="1" applyFill="1"/>
    <xf numFmtId="14" fontId="0" fillId="2" borderId="0" xfId="0" applyNumberFormat="1" applyFill="1"/>
    <xf numFmtId="0" fontId="0" fillId="0" borderId="0" xfId="0" applyNumberFormat="1"/>
    <xf numFmtId="16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4" borderId="0" xfId="0" applyFill="1"/>
    <xf numFmtId="0" fontId="3" fillId="4" borderId="0" xfId="0" applyFont="1" applyFill="1"/>
    <xf numFmtId="0" fontId="4" fillId="3" borderId="0" xfId="0" applyFont="1" applyFill="1"/>
  </cellXfs>
  <cellStyles count="2">
    <cellStyle name="Hyperlink" xfId="1" builtinId="8"/>
    <cellStyle name="Normal" xfId="0" builtinId="0"/>
  </cellStyles>
  <dxfs count="49">
    <dxf>
      <numFmt numFmtId="0" formatCode="General"/>
      <fill>
        <patternFill patternType="solid">
          <fgColor indexed="64"/>
          <bgColor theme="2" tint="-9.9978637043366805E-2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IN EXCEL.xlsx]Pivot!PivotTable6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Pivot!$G$2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Pivot!$F$3:$F$8</c:f>
              <c:strCache>
                <c:ptCount val="5"/>
                <c:pt idx="0">
                  <c:v>Speaker</c:v>
                </c:pt>
                <c:pt idx="1">
                  <c:v>Printer</c:v>
                </c:pt>
                <c:pt idx="2">
                  <c:v>Mouse</c:v>
                </c:pt>
                <c:pt idx="3">
                  <c:v>Laptop HP  i5</c:v>
                </c:pt>
                <c:pt idx="4">
                  <c:v>Camera</c:v>
                </c:pt>
              </c:strCache>
            </c:strRef>
          </c:cat>
          <c:val>
            <c:numRef>
              <c:f>Pivot!$G$3:$G$8</c:f>
              <c:numCache>
                <c:formatCode>General</c:formatCode>
                <c:ptCount val="5"/>
                <c:pt idx="0">
                  <c:v>9</c:v>
                </c:pt>
                <c:pt idx="1">
                  <c:v>6</c:v>
                </c:pt>
                <c:pt idx="2">
                  <c:v>6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D5-45B1-A163-E2E3BD4A9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8317071"/>
        <c:axId val="548315631"/>
      </c:barChart>
      <c:catAx>
        <c:axId val="548317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315631"/>
        <c:crosses val="autoZero"/>
        <c:auto val="1"/>
        <c:lblAlgn val="ctr"/>
        <c:lblOffset val="100"/>
        <c:noMultiLvlLbl val="0"/>
      </c:catAx>
      <c:valAx>
        <c:axId val="548315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317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IN EXCEL.xlsx]Pivot!PivotTable7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Pivot!$G$11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Pivot!$F$12:$F$17</c:f>
              <c:strCache>
                <c:ptCount val="5"/>
                <c:pt idx="0">
                  <c:v>Relaince</c:v>
                </c:pt>
                <c:pt idx="1">
                  <c:v>Jain tel</c:v>
                </c:pt>
                <c:pt idx="2">
                  <c:v>Raghav</c:v>
                </c:pt>
                <c:pt idx="3">
                  <c:v>Harsh</c:v>
                </c:pt>
                <c:pt idx="4">
                  <c:v>Ram Sales</c:v>
                </c:pt>
              </c:strCache>
            </c:strRef>
          </c:cat>
          <c:val>
            <c:numRef>
              <c:f>Pivot!$G$12:$G$17</c:f>
              <c:numCache>
                <c:formatCode>General</c:formatCode>
                <c:ptCount val="5"/>
                <c:pt idx="0">
                  <c:v>312000</c:v>
                </c:pt>
                <c:pt idx="1">
                  <c:v>207000</c:v>
                </c:pt>
                <c:pt idx="2">
                  <c:v>103212</c:v>
                </c:pt>
                <c:pt idx="3">
                  <c:v>35036</c:v>
                </c:pt>
                <c:pt idx="4">
                  <c:v>4824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7-4079-A78C-B8E3C40F6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8333871"/>
        <c:axId val="548333391"/>
      </c:barChart>
      <c:catAx>
        <c:axId val="548333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333391"/>
        <c:crosses val="autoZero"/>
        <c:auto val="1"/>
        <c:lblAlgn val="ctr"/>
        <c:lblOffset val="100"/>
        <c:noMultiLvlLbl val="0"/>
      </c:catAx>
      <c:valAx>
        <c:axId val="548333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333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IN EXCEL.xlsx]Pivot!PivotTable8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Pivot!$A$21:$A$31</c:f>
              <c:strCache>
                <c:ptCount val="10"/>
                <c:pt idx="0">
                  <c:v>Camera</c:v>
                </c:pt>
                <c:pt idx="1">
                  <c:v>Desktop</c:v>
                </c:pt>
                <c:pt idx="2">
                  <c:v>Headphone</c:v>
                </c:pt>
                <c:pt idx="3">
                  <c:v>Keyboard</c:v>
                </c:pt>
                <c:pt idx="4">
                  <c:v>Laptop HP  i5</c:v>
                </c:pt>
                <c:pt idx="5">
                  <c:v>Mouse</c:v>
                </c:pt>
                <c:pt idx="6">
                  <c:v>Printer</c:v>
                </c:pt>
                <c:pt idx="7">
                  <c:v>SmartWatch</c:v>
                </c:pt>
                <c:pt idx="8">
                  <c:v>Speaker</c:v>
                </c:pt>
                <c:pt idx="9">
                  <c:v>Tablets</c:v>
                </c:pt>
              </c:strCache>
            </c:strRef>
          </c:cat>
          <c:val>
            <c:numRef>
              <c:f>Pivot!$B$21:$B$31</c:f>
              <c:numCache>
                <c:formatCode>General</c:formatCode>
                <c:ptCount val="10"/>
                <c:pt idx="0">
                  <c:v>-5</c:v>
                </c:pt>
                <c:pt idx="1">
                  <c:v>12</c:v>
                </c:pt>
                <c:pt idx="2">
                  <c:v>5</c:v>
                </c:pt>
                <c:pt idx="3">
                  <c:v>-2</c:v>
                </c:pt>
                <c:pt idx="4">
                  <c:v>-2</c:v>
                </c:pt>
                <c:pt idx="5">
                  <c:v>0</c:v>
                </c:pt>
                <c:pt idx="6">
                  <c:v>-3</c:v>
                </c:pt>
                <c:pt idx="7">
                  <c:v>5</c:v>
                </c:pt>
                <c:pt idx="8">
                  <c:v>-7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0C-4819-9632-3FE60DA34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26683247"/>
        <c:axId val="526683727"/>
        <c:axId val="0"/>
      </c:bar3DChart>
      <c:catAx>
        <c:axId val="526683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683727"/>
        <c:crosses val="autoZero"/>
        <c:auto val="1"/>
        <c:lblAlgn val="ctr"/>
        <c:lblOffset val="100"/>
        <c:noMultiLvlLbl val="0"/>
      </c:catAx>
      <c:valAx>
        <c:axId val="52668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6832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Purchase '!A1"/><Relationship Id="rId13" Type="http://schemas.openxmlformats.org/officeDocument/2006/relationships/image" Target="../media/image4.svg"/><Relationship Id="rId18" Type="http://schemas.openxmlformats.org/officeDocument/2006/relationships/image" Target="../media/image9.png"/><Relationship Id="rId26" Type="http://schemas.openxmlformats.org/officeDocument/2006/relationships/image" Target="../media/image17.png"/><Relationship Id="rId3" Type="http://schemas.openxmlformats.org/officeDocument/2006/relationships/hyperlink" Target="#'DashBoard '!A1"/><Relationship Id="rId21" Type="http://schemas.openxmlformats.org/officeDocument/2006/relationships/image" Target="../media/image12.svg"/><Relationship Id="rId7" Type="http://schemas.openxmlformats.org/officeDocument/2006/relationships/hyperlink" Target="#'New Entry'!A1"/><Relationship Id="rId12" Type="http://schemas.openxmlformats.org/officeDocument/2006/relationships/image" Target="../media/image3.png"/><Relationship Id="rId17" Type="http://schemas.openxmlformats.org/officeDocument/2006/relationships/image" Target="../media/image8.svg"/><Relationship Id="rId25" Type="http://schemas.openxmlformats.org/officeDocument/2006/relationships/image" Target="../media/image16.svg"/><Relationship Id="rId2" Type="http://schemas.openxmlformats.org/officeDocument/2006/relationships/image" Target="../media/image2.svg"/><Relationship Id="rId16" Type="http://schemas.openxmlformats.org/officeDocument/2006/relationships/image" Target="../media/image7.png"/><Relationship Id="rId20" Type="http://schemas.openxmlformats.org/officeDocument/2006/relationships/image" Target="../media/image11.png"/><Relationship Id="rId29" Type="http://schemas.openxmlformats.org/officeDocument/2006/relationships/image" Target="../media/image20.sv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hyperlink" Target="#Pivot!A1"/><Relationship Id="rId24" Type="http://schemas.openxmlformats.org/officeDocument/2006/relationships/image" Target="../media/image15.png"/><Relationship Id="rId32" Type="http://schemas.openxmlformats.org/officeDocument/2006/relationships/chart" Target="../charts/chart3.xml"/><Relationship Id="rId5" Type="http://schemas.openxmlformats.org/officeDocument/2006/relationships/hyperlink" Target="#Product!A1"/><Relationship Id="rId15" Type="http://schemas.openxmlformats.org/officeDocument/2006/relationships/image" Target="../media/image6.svg"/><Relationship Id="rId23" Type="http://schemas.openxmlformats.org/officeDocument/2006/relationships/image" Target="../media/image14.svg"/><Relationship Id="rId28" Type="http://schemas.openxmlformats.org/officeDocument/2006/relationships/image" Target="../media/image19.png"/><Relationship Id="rId10" Type="http://schemas.openxmlformats.org/officeDocument/2006/relationships/hyperlink" Target="#Inventory!A1"/><Relationship Id="rId19" Type="http://schemas.openxmlformats.org/officeDocument/2006/relationships/image" Target="../media/image10.svg"/><Relationship Id="rId31" Type="http://schemas.openxmlformats.org/officeDocument/2006/relationships/chart" Target="../charts/chart2.xml"/><Relationship Id="rId4" Type="http://schemas.openxmlformats.org/officeDocument/2006/relationships/hyperlink" Target="#Customers!A1"/><Relationship Id="rId9" Type="http://schemas.openxmlformats.org/officeDocument/2006/relationships/hyperlink" Target="#Sales!A1"/><Relationship Id="rId14" Type="http://schemas.openxmlformats.org/officeDocument/2006/relationships/image" Target="../media/image5.png"/><Relationship Id="rId22" Type="http://schemas.openxmlformats.org/officeDocument/2006/relationships/image" Target="../media/image13.png"/><Relationship Id="rId27" Type="http://schemas.openxmlformats.org/officeDocument/2006/relationships/image" Target="../media/image18.svg"/><Relationship Id="rId30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Purchase '!A1"/><Relationship Id="rId13" Type="http://schemas.openxmlformats.org/officeDocument/2006/relationships/image" Target="../media/image22.svg"/><Relationship Id="rId18" Type="http://schemas.openxmlformats.org/officeDocument/2006/relationships/image" Target="../media/image9.png"/><Relationship Id="rId26" Type="http://schemas.openxmlformats.org/officeDocument/2006/relationships/image" Target="../media/image17.png"/><Relationship Id="rId3" Type="http://schemas.openxmlformats.org/officeDocument/2006/relationships/hyperlink" Target="#'DashBoard '!A1"/><Relationship Id="rId21" Type="http://schemas.openxmlformats.org/officeDocument/2006/relationships/image" Target="../media/image12.svg"/><Relationship Id="rId7" Type="http://schemas.openxmlformats.org/officeDocument/2006/relationships/hyperlink" Target="#'New Entry'!A1"/><Relationship Id="rId12" Type="http://schemas.openxmlformats.org/officeDocument/2006/relationships/image" Target="../media/image21.png"/><Relationship Id="rId17" Type="http://schemas.openxmlformats.org/officeDocument/2006/relationships/image" Target="../media/image8.svg"/><Relationship Id="rId25" Type="http://schemas.openxmlformats.org/officeDocument/2006/relationships/image" Target="../media/image16.svg"/><Relationship Id="rId2" Type="http://schemas.openxmlformats.org/officeDocument/2006/relationships/image" Target="../media/image2.svg"/><Relationship Id="rId16" Type="http://schemas.openxmlformats.org/officeDocument/2006/relationships/image" Target="../media/image7.png"/><Relationship Id="rId20" Type="http://schemas.openxmlformats.org/officeDocument/2006/relationships/image" Target="../media/image11.png"/><Relationship Id="rId29" Type="http://schemas.openxmlformats.org/officeDocument/2006/relationships/image" Target="../media/image20.sv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hyperlink" Target="#Pivots!A1"/><Relationship Id="rId24" Type="http://schemas.openxmlformats.org/officeDocument/2006/relationships/image" Target="../media/image15.png"/><Relationship Id="rId5" Type="http://schemas.openxmlformats.org/officeDocument/2006/relationships/hyperlink" Target="#Product!A1"/><Relationship Id="rId15" Type="http://schemas.openxmlformats.org/officeDocument/2006/relationships/image" Target="../media/image6.svg"/><Relationship Id="rId23" Type="http://schemas.openxmlformats.org/officeDocument/2006/relationships/image" Target="../media/image14.svg"/><Relationship Id="rId28" Type="http://schemas.openxmlformats.org/officeDocument/2006/relationships/image" Target="../media/image19.png"/><Relationship Id="rId10" Type="http://schemas.openxmlformats.org/officeDocument/2006/relationships/hyperlink" Target="#Inventory!A1"/><Relationship Id="rId19" Type="http://schemas.openxmlformats.org/officeDocument/2006/relationships/image" Target="../media/image10.svg"/><Relationship Id="rId4" Type="http://schemas.openxmlformats.org/officeDocument/2006/relationships/hyperlink" Target="#Customers!A1"/><Relationship Id="rId9" Type="http://schemas.openxmlformats.org/officeDocument/2006/relationships/hyperlink" Target="#Sales!A1"/><Relationship Id="rId14" Type="http://schemas.openxmlformats.org/officeDocument/2006/relationships/image" Target="../media/image5.png"/><Relationship Id="rId22" Type="http://schemas.openxmlformats.org/officeDocument/2006/relationships/image" Target="../media/image13.png"/><Relationship Id="rId27" Type="http://schemas.openxmlformats.org/officeDocument/2006/relationships/image" Target="../media/image18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Purchase '!A1"/><Relationship Id="rId13" Type="http://schemas.openxmlformats.org/officeDocument/2006/relationships/image" Target="../media/image4.svg"/><Relationship Id="rId18" Type="http://schemas.openxmlformats.org/officeDocument/2006/relationships/image" Target="../media/image23.png"/><Relationship Id="rId26" Type="http://schemas.openxmlformats.org/officeDocument/2006/relationships/image" Target="../media/image17.png"/><Relationship Id="rId3" Type="http://schemas.openxmlformats.org/officeDocument/2006/relationships/hyperlink" Target="#'DashBoard '!A1"/><Relationship Id="rId21" Type="http://schemas.openxmlformats.org/officeDocument/2006/relationships/image" Target="../media/image12.svg"/><Relationship Id="rId7" Type="http://schemas.openxmlformats.org/officeDocument/2006/relationships/hyperlink" Target="#'New Entry'!A1"/><Relationship Id="rId12" Type="http://schemas.openxmlformats.org/officeDocument/2006/relationships/image" Target="../media/image3.png"/><Relationship Id="rId17" Type="http://schemas.openxmlformats.org/officeDocument/2006/relationships/image" Target="../media/image8.svg"/><Relationship Id="rId25" Type="http://schemas.openxmlformats.org/officeDocument/2006/relationships/image" Target="../media/image16.svg"/><Relationship Id="rId2" Type="http://schemas.openxmlformats.org/officeDocument/2006/relationships/image" Target="../media/image2.svg"/><Relationship Id="rId16" Type="http://schemas.openxmlformats.org/officeDocument/2006/relationships/image" Target="../media/image7.png"/><Relationship Id="rId20" Type="http://schemas.openxmlformats.org/officeDocument/2006/relationships/image" Target="../media/image11.png"/><Relationship Id="rId29" Type="http://schemas.openxmlformats.org/officeDocument/2006/relationships/image" Target="../media/image20.sv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hyperlink" Target="#Pivots!A1"/><Relationship Id="rId24" Type="http://schemas.openxmlformats.org/officeDocument/2006/relationships/image" Target="../media/image15.png"/><Relationship Id="rId5" Type="http://schemas.openxmlformats.org/officeDocument/2006/relationships/hyperlink" Target="#Product!A1"/><Relationship Id="rId15" Type="http://schemas.openxmlformats.org/officeDocument/2006/relationships/image" Target="../media/image6.svg"/><Relationship Id="rId23" Type="http://schemas.openxmlformats.org/officeDocument/2006/relationships/image" Target="../media/image14.svg"/><Relationship Id="rId28" Type="http://schemas.openxmlformats.org/officeDocument/2006/relationships/image" Target="../media/image19.png"/><Relationship Id="rId10" Type="http://schemas.openxmlformats.org/officeDocument/2006/relationships/hyperlink" Target="#Inventory!A1"/><Relationship Id="rId19" Type="http://schemas.openxmlformats.org/officeDocument/2006/relationships/image" Target="../media/image24.svg"/><Relationship Id="rId4" Type="http://schemas.openxmlformats.org/officeDocument/2006/relationships/hyperlink" Target="#Customers!A1"/><Relationship Id="rId9" Type="http://schemas.openxmlformats.org/officeDocument/2006/relationships/hyperlink" Target="#Sales!A1"/><Relationship Id="rId14" Type="http://schemas.openxmlformats.org/officeDocument/2006/relationships/image" Target="../media/image5.png"/><Relationship Id="rId22" Type="http://schemas.openxmlformats.org/officeDocument/2006/relationships/image" Target="../media/image13.png"/><Relationship Id="rId27" Type="http://schemas.openxmlformats.org/officeDocument/2006/relationships/image" Target="../media/image18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'Purchase '!A1"/><Relationship Id="rId13" Type="http://schemas.openxmlformats.org/officeDocument/2006/relationships/image" Target="../media/image4.svg"/><Relationship Id="rId18" Type="http://schemas.openxmlformats.org/officeDocument/2006/relationships/image" Target="../media/image9.png"/><Relationship Id="rId26" Type="http://schemas.openxmlformats.org/officeDocument/2006/relationships/image" Target="../media/image25.png"/><Relationship Id="rId3" Type="http://schemas.openxmlformats.org/officeDocument/2006/relationships/hyperlink" Target="#'DashBoard '!A1"/><Relationship Id="rId21" Type="http://schemas.openxmlformats.org/officeDocument/2006/relationships/image" Target="../media/image12.svg"/><Relationship Id="rId7" Type="http://schemas.openxmlformats.org/officeDocument/2006/relationships/hyperlink" Target="#'New Entry'!A1"/><Relationship Id="rId12" Type="http://schemas.openxmlformats.org/officeDocument/2006/relationships/image" Target="../media/image3.png"/><Relationship Id="rId17" Type="http://schemas.openxmlformats.org/officeDocument/2006/relationships/image" Target="../media/image8.svg"/><Relationship Id="rId25" Type="http://schemas.openxmlformats.org/officeDocument/2006/relationships/image" Target="../media/image16.svg"/><Relationship Id="rId2" Type="http://schemas.openxmlformats.org/officeDocument/2006/relationships/image" Target="../media/image2.svg"/><Relationship Id="rId16" Type="http://schemas.openxmlformats.org/officeDocument/2006/relationships/image" Target="../media/image7.png"/><Relationship Id="rId20" Type="http://schemas.openxmlformats.org/officeDocument/2006/relationships/image" Target="../media/image11.png"/><Relationship Id="rId29" Type="http://schemas.openxmlformats.org/officeDocument/2006/relationships/image" Target="../media/image20.sv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hyperlink" Target="#Pivots!A1"/><Relationship Id="rId24" Type="http://schemas.openxmlformats.org/officeDocument/2006/relationships/image" Target="../media/image15.png"/><Relationship Id="rId5" Type="http://schemas.openxmlformats.org/officeDocument/2006/relationships/hyperlink" Target="#Product!A1"/><Relationship Id="rId15" Type="http://schemas.openxmlformats.org/officeDocument/2006/relationships/image" Target="../media/image6.svg"/><Relationship Id="rId23" Type="http://schemas.openxmlformats.org/officeDocument/2006/relationships/image" Target="../media/image14.svg"/><Relationship Id="rId28" Type="http://schemas.openxmlformats.org/officeDocument/2006/relationships/image" Target="../media/image19.png"/><Relationship Id="rId10" Type="http://schemas.openxmlformats.org/officeDocument/2006/relationships/hyperlink" Target="#Inventory!A1"/><Relationship Id="rId19" Type="http://schemas.openxmlformats.org/officeDocument/2006/relationships/image" Target="../media/image10.svg"/><Relationship Id="rId4" Type="http://schemas.openxmlformats.org/officeDocument/2006/relationships/hyperlink" Target="#Customers!A1"/><Relationship Id="rId9" Type="http://schemas.openxmlformats.org/officeDocument/2006/relationships/hyperlink" Target="#Sales!A1"/><Relationship Id="rId14" Type="http://schemas.openxmlformats.org/officeDocument/2006/relationships/image" Target="../media/image5.png"/><Relationship Id="rId22" Type="http://schemas.openxmlformats.org/officeDocument/2006/relationships/image" Target="../media/image13.png"/><Relationship Id="rId27" Type="http://schemas.openxmlformats.org/officeDocument/2006/relationships/image" Target="../media/image26.sv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'Purchase '!A1"/><Relationship Id="rId13" Type="http://schemas.openxmlformats.org/officeDocument/2006/relationships/image" Target="../media/image4.svg"/><Relationship Id="rId18" Type="http://schemas.openxmlformats.org/officeDocument/2006/relationships/image" Target="../media/image9.png"/><Relationship Id="rId26" Type="http://schemas.openxmlformats.org/officeDocument/2006/relationships/image" Target="../media/image17.png"/><Relationship Id="rId3" Type="http://schemas.openxmlformats.org/officeDocument/2006/relationships/hyperlink" Target="#'DashBoard '!A1"/><Relationship Id="rId21" Type="http://schemas.openxmlformats.org/officeDocument/2006/relationships/image" Target="../media/image12.svg"/><Relationship Id="rId7" Type="http://schemas.openxmlformats.org/officeDocument/2006/relationships/hyperlink" Target="#'New Entry'!A1"/><Relationship Id="rId12" Type="http://schemas.openxmlformats.org/officeDocument/2006/relationships/image" Target="../media/image3.png"/><Relationship Id="rId17" Type="http://schemas.openxmlformats.org/officeDocument/2006/relationships/image" Target="../media/image8.svg"/><Relationship Id="rId25" Type="http://schemas.openxmlformats.org/officeDocument/2006/relationships/image" Target="../media/image16.svg"/><Relationship Id="rId2" Type="http://schemas.openxmlformats.org/officeDocument/2006/relationships/image" Target="../media/image2.svg"/><Relationship Id="rId16" Type="http://schemas.openxmlformats.org/officeDocument/2006/relationships/image" Target="../media/image7.png"/><Relationship Id="rId20" Type="http://schemas.openxmlformats.org/officeDocument/2006/relationships/image" Target="../media/image11.png"/><Relationship Id="rId29" Type="http://schemas.openxmlformats.org/officeDocument/2006/relationships/image" Target="../media/image20.sv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hyperlink" Target="#Pivots!A1"/><Relationship Id="rId24" Type="http://schemas.openxmlformats.org/officeDocument/2006/relationships/image" Target="../media/image15.png"/><Relationship Id="rId5" Type="http://schemas.openxmlformats.org/officeDocument/2006/relationships/hyperlink" Target="#Product!A1"/><Relationship Id="rId15" Type="http://schemas.openxmlformats.org/officeDocument/2006/relationships/image" Target="../media/image6.svg"/><Relationship Id="rId23" Type="http://schemas.openxmlformats.org/officeDocument/2006/relationships/image" Target="../media/image14.svg"/><Relationship Id="rId28" Type="http://schemas.openxmlformats.org/officeDocument/2006/relationships/image" Target="../media/image19.png"/><Relationship Id="rId10" Type="http://schemas.openxmlformats.org/officeDocument/2006/relationships/hyperlink" Target="#Inventory!A1"/><Relationship Id="rId19" Type="http://schemas.openxmlformats.org/officeDocument/2006/relationships/image" Target="../media/image10.svg"/><Relationship Id="rId4" Type="http://schemas.openxmlformats.org/officeDocument/2006/relationships/hyperlink" Target="#Customers!A1"/><Relationship Id="rId9" Type="http://schemas.openxmlformats.org/officeDocument/2006/relationships/hyperlink" Target="#Sales!A1"/><Relationship Id="rId14" Type="http://schemas.openxmlformats.org/officeDocument/2006/relationships/image" Target="../media/image5.png"/><Relationship Id="rId22" Type="http://schemas.openxmlformats.org/officeDocument/2006/relationships/image" Target="../media/image13.png"/><Relationship Id="rId27" Type="http://schemas.openxmlformats.org/officeDocument/2006/relationships/image" Target="../media/image18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'Purchase '!A1"/><Relationship Id="rId13" Type="http://schemas.openxmlformats.org/officeDocument/2006/relationships/image" Target="../media/image4.svg"/><Relationship Id="rId18" Type="http://schemas.openxmlformats.org/officeDocument/2006/relationships/image" Target="../media/image9.png"/><Relationship Id="rId26" Type="http://schemas.openxmlformats.org/officeDocument/2006/relationships/image" Target="../media/image17.png"/><Relationship Id="rId3" Type="http://schemas.openxmlformats.org/officeDocument/2006/relationships/hyperlink" Target="#'DashBoard '!A1"/><Relationship Id="rId21" Type="http://schemas.openxmlformats.org/officeDocument/2006/relationships/image" Target="../media/image12.svg"/><Relationship Id="rId7" Type="http://schemas.openxmlformats.org/officeDocument/2006/relationships/hyperlink" Target="#'New Entry'!A1"/><Relationship Id="rId12" Type="http://schemas.openxmlformats.org/officeDocument/2006/relationships/image" Target="../media/image3.png"/><Relationship Id="rId17" Type="http://schemas.openxmlformats.org/officeDocument/2006/relationships/image" Target="../media/image8.svg"/><Relationship Id="rId25" Type="http://schemas.openxmlformats.org/officeDocument/2006/relationships/image" Target="../media/image16.svg"/><Relationship Id="rId2" Type="http://schemas.openxmlformats.org/officeDocument/2006/relationships/image" Target="../media/image2.svg"/><Relationship Id="rId16" Type="http://schemas.openxmlformats.org/officeDocument/2006/relationships/image" Target="../media/image7.png"/><Relationship Id="rId20" Type="http://schemas.openxmlformats.org/officeDocument/2006/relationships/image" Target="../media/image11.png"/><Relationship Id="rId29" Type="http://schemas.openxmlformats.org/officeDocument/2006/relationships/image" Target="../media/image20.sv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hyperlink" Target="#Pivots!A1"/><Relationship Id="rId24" Type="http://schemas.openxmlformats.org/officeDocument/2006/relationships/image" Target="../media/image15.png"/><Relationship Id="rId5" Type="http://schemas.openxmlformats.org/officeDocument/2006/relationships/hyperlink" Target="#Product!A1"/><Relationship Id="rId15" Type="http://schemas.openxmlformats.org/officeDocument/2006/relationships/image" Target="../media/image6.svg"/><Relationship Id="rId23" Type="http://schemas.openxmlformats.org/officeDocument/2006/relationships/image" Target="../media/image14.svg"/><Relationship Id="rId28" Type="http://schemas.openxmlformats.org/officeDocument/2006/relationships/image" Target="../media/image19.png"/><Relationship Id="rId10" Type="http://schemas.openxmlformats.org/officeDocument/2006/relationships/hyperlink" Target="#Inventory!A1"/><Relationship Id="rId19" Type="http://schemas.openxmlformats.org/officeDocument/2006/relationships/image" Target="../media/image10.svg"/><Relationship Id="rId4" Type="http://schemas.openxmlformats.org/officeDocument/2006/relationships/hyperlink" Target="#Customers!A1"/><Relationship Id="rId9" Type="http://schemas.openxmlformats.org/officeDocument/2006/relationships/hyperlink" Target="#Sales!A1"/><Relationship Id="rId14" Type="http://schemas.openxmlformats.org/officeDocument/2006/relationships/image" Target="../media/image5.png"/><Relationship Id="rId22" Type="http://schemas.openxmlformats.org/officeDocument/2006/relationships/image" Target="../media/image13.png"/><Relationship Id="rId27" Type="http://schemas.openxmlformats.org/officeDocument/2006/relationships/image" Target="../media/image18.sv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'Purchase '!A1"/><Relationship Id="rId13" Type="http://schemas.openxmlformats.org/officeDocument/2006/relationships/image" Target="../media/image4.svg"/><Relationship Id="rId18" Type="http://schemas.openxmlformats.org/officeDocument/2006/relationships/image" Target="../media/image9.png"/><Relationship Id="rId26" Type="http://schemas.openxmlformats.org/officeDocument/2006/relationships/image" Target="../media/image17.png"/><Relationship Id="rId3" Type="http://schemas.openxmlformats.org/officeDocument/2006/relationships/hyperlink" Target="#'DashBoard '!A1"/><Relationship Id="rId21" Type="http://schemas.openxmlformats.org/officeDocument/2006/relationships/image" Target="../media/image12.svg"/><Relationship Id="rId7" Type="http://schemas.openxmlformats.org/officeDocument/2006/relationships/hyperlink" Target="#'New Entry'!A1"/><Relationship Id="rId12" Type="http://schemas.openxmlformats.org/officeDocument/2006/relationships/image" Target="../media/image3.png"/><Relationship Id="rId17" Type="http://schemas.openxmlformats.org/officeDocument/2006/relationships/image" Target="../media/image8.svg"/><Relationship Id="rId25" Type="http://schemas.openxmlformats.org/officeDocument/2006/relationships/image" Target="../media/image16.svg"/><Relationship Id="rId2" Type="http://schemas.openxmlformats.org/officeDocument/2006/relationships/image" Target="../media/image2.svg"/><Relationship Id="rId16" Type="http://schemas.openxmlformats.org/officeDocument/2006/relationships/image" Target="../media/image7.png"/><Relationship Id="rId20" Type="http://schemas.openxmlformats.org/officeDocument/2006/relationships/image" Target="../media/image11.png"/><Relationship Id="rId29" Type="http://schemas.openxmlformats.org/officeDocument/2006/relationships/image" Target="../media/image20.sv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hyperlink" Target="#Pivots!A1"/><Relationship Id="rId24" Type="http://schemas.openxmlformats.org/officeDocument/2006/relationships/image" Target="../media/image15.png"/><Relationship Id="rId5" Type="http://schemas.openxmlformats.org/officeDocument/2006/relationships/hyperlink" Target="#Product!A1"/><Relationship Id="rId15" Type="http://schemas.openxmlformats.org/officeDocument/2006/relationships/image" Target="../media/image6.svg"/><Relationship Id="rId23" Type="http://schemas.openxmlformats.org/officeDocument/2006/relationships/image" Target="../media/image14.svg"/><Relationship Id="rId28" Type="http://schemas.openxmlformats.org/officeDocument/2006/relationships/image" Target="../media/image19.png"/><Relationship Id="rId10" Type="http://schemas.openxmlformats.org/officeDocument/2006/relationships/hyperlink" Target="#Inventory!A1"/><Relationship Id="rId19" Type="http://schemas.openxmlformats.org/officeDocument/2006/relationships/image" Target="../media/image10.svg"/><Relationship Id="rId4" Type="http://schemas.openxmlformats.org/officeDocument/2006/relationships/hyperlink" Target="#Customers!A1"/><Relationship Id="rId9" Type="http://schemas.openxmlformats.org/officeDocument/2006/relationships/hyperlink" Target="#Sales!A1"/><Relationship Id="rId14" Type="http://schemas.openxmlformats.org/officeDocument/2006/relationships/image" Target="../media/image5.png"/><Relationship Id="rId22" Type="http://schemas.openxmlformats.org/officeDocument/2006/relationships/image" Target="../media/image13.png"/><Relationship Id="rId27" Type="http://schemas.openxmlformats.org/officeDocument/2006/relationships/image" Target="../media/image18.sv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'Purchase '!A1"/><Relationship Id="rId13" Type="http://schemas.openxmlformats.org/officeDocument/2006/relationships/image" Target="../media/image4.svg"/><Relationship Id="rId18" Type="http://schemas.openxmlformats.org/officeDocument/2006/relationships/image" Target="../media/image9.png"/><Relationship Id="rId26" Type="http://schemas.openxmlformats.org/officeDocument/2006/relationships/image" Target="../media/image17.png"/><Relationship Id="rId3" Type="http://schemas.openxmlformats.org/officeDocument/2006/relationships/hyperlink" Target="#'DashBoard '!A1"/><Relationship Id="rId21" Type="http://schemas.openxmlformats.org/officeDocument/2006/relationships/image" Target="../media/image12.svg"/><Relationship Id="rId7" Type="http://schemas.openxmlformats.org/officeDocument/2006/relationships/hyperlink" Target="#'New Entry'!A1"/><Relationship Id="rId12" Type="http://schemas.openxmlformats.org/officeDocument/2006/relationships/image" Target="../media/image3.png"/><Relationship Id="rId17" Type="http://schemas.openxmlformats.org/officeDocument/2006/relationships/image" Target="../media/image8.svg"/><Relationship Id="rId25" Type="http://schemas.openxmlformats.org/officeDocument/2006/relationships/image" Target="../media/image16.svg"/><Relationship Id="rId2" Type="http://schemas.openxmlformats.org/officeDocument/2006/relationships/image" Target="../media/image2.svg"/><Relationship Id="rId16" Type="http://schemas.openxmlformats.org/officeDocument/2006/relationships/image" Target="../media/image7.png"/><Relationship Id="rId20" Type="http://schemas.openxmlformats.org/officeDocument/2006/relationships/image" Target="../media/image11.png"/><Relationship Id="rId29" Type="http://schemas.openxmlformats.org/officeDocument/2006/relationships/image" Target="../media/image20.sv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hyperlink" Target="#Pivots!A1"/><Relationship Id="rId24" Type="http://schemas.openxmlformats.org/officeDocument/2006/relationships/image" Target="../media/image15.png"/><Relationship Id="rId5" Type="http://schemas.openxmlformats.org/officeDocument/2006/relationships/hyperlink" Target="#Product!A1"/><Relationship Id="rId15" Type="http://schemas.openxmlformats.org/officeDocument/2006/relationships/image" Target="../media/image6.svg"/><Relationship Id="rId23" Type="http://schemas.openxmlformats.org/officeDocument/2006/relationships/image" Target="../media/image14.svg"/><Relationship Id="rId28" Type="http://schemas.openxmlformats.org/officeDocument/2006/relationships/image" Target="../media/image19.png"/><Relationship Id="rId10" Type="http://schemas.openxmlformats.org/officeDocument/2006/relationships/hyperlink" Target="#Inventory!A1"/><Relationship Id="rId19" Type="http://schemas.openxmlformats.org/officeDocument/2006/relationships/image" Target="../media/image10.svg"/><Relationship Id="rId4" Type="http://schemas.openxmlformats.org/officeDocument/2006/relationships/hyperlink" Target="#Customers!A1"/><Relationship Id="rId9" Type="http://schemas.openxmlformats.org/officeDocument/2006/relationships/hyperlink" Target="#Sales!A1"/><Relationship Id="rId14" Type="http://schemas.openxmlformats.org/officeDocument/2006/relationships/image" Target="../media/image5.png"/><Relationship Id="rId22" Type="http://schemas.openxmlformats.org/officeDocument/2006/relationships/image" Target="../media/image13.png"/><Relationship Id="rId27" Type="http://schemas.openxmlformats.org/officeDocument/2006/relationships/image" Target="../media/image18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257434</xdr:colOff>
      <xdr:row>1</xdr:row>
      <xdr:rowOff>102973</xdr:rowOff>
    </xdr:from>
    <xdr:to>
      <xdr:col>1</xdr:col>
      <xdr:colOff>901015</xdr:colOff>
      <xdr:row>4</xdr:row>
      <xdr:rowOff>167331</xdr:rowOff>
    </xdr:to>
    <xdr:pic>
      <xdr:nvPicPr>
        <xdr:cNvPr id="3" name="Graphic 2" descr="Books with solid fill">
          <a:extLst>
            <a:ext uri="{FF2B5EF4-FFF2-40B4-BE49-F238E27FC236}">
              <a16:creationId xmlns:a16="http://schemas.microsoft.com/office/drawing/2014/main" id="{A6F2E352-DB9B-1955-AE9C-9C59ED395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17839" y="296047"/>
          <a:ext cx="643581" cy="643581"/>
        </a:xfrm>
        <a:prstGeom prst="rect">
          <a:avLst/>
        </a:prstGeom>
      </xdr:spPr>
    </xdr:pic>
    <xdr:clientData/>
  </xdr:twoCellAnchor>
  <xdr:twoCellAnchor>
    <xdr:from>
      <xdr:col>0</xdr:col>
      <xdr:colOff>334662</xdr:colOff>
      <xdr:row>4</xdr:row>
      <xdr:rowOff>154460</xdr:rowOff>
    </xdr:from>
    <xdr:to>
      <xdr:col>1</xdr:col>
      <xdr:colOff>1203496</xdr:colOff>
      <xdr:row>7</xdr:row>
      <xdr:rowOff>12873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5316C41-7528-D09E-75E1-2B8EB5034F8F}"/>
            </a:ext>
          </a:extLst>
        </xdr:cNvPr>
        <xdr:cNvSpPr/>
      </xdr:nvSpPr>
      <xdr:spPr>
        <a:xfrm>
          <a:off x="334662" y="925022"/>
          <a:ext cx="1232710" cy="43633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900" b="1">
              <a:solidFill>
                <a:schemeClr val="tx1"/>
              </a:solidFill>
            </a:rPr>
            <a:t>Inventory </a:t>
          </a:r>
          <a:r>
            <a:rPr lang="en-US" sz="900" b="1">
              <a:solidFill>
                <a:schemeClr val="tx1"/>
              </a:solidFill>
            </a:rPr>
            <a:t>Management System </a:t>
          </a:r>
          <a:endParaRPr lang="en-IN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377759</xdr:colOff>
      <xdr:row>11</xdr:row>
      <xdr:rowOff>15113</xdr:rowOff>
    </xdr:from>
    <xdr:to>
      <xdr:col>1</xdr:col>
      <xdr:colOff>1141019</xdr:colOff>
      <xdr:row>12</xdr:row>
      <xdr:rowOff>47293</xdr:rowOff>
    </xdr:to>
    <xdr:sp macro="" textlink="">
      <xdr:nvSpPr>
        <xdr:cNvPr id="6" name="Rectangl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D207BC5-8F23-CA6A-B442-27D611AA614D}"/>
            </a:ext>
          </a:extLst>
        </xdr:cNvPr>
        <xdr:cNvSpPr/>
      </xdr:nvSpPr>
      <xdr:spPr>
        <a:xfrm>
          <a:off x="741635" y="2134158"/>
          <a:ext cx="763260" cy="2248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Dashboard </a:t>
          </a:r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357150</xdr:colOff>
      <xdr:row>11</xdr:row>
      <xdr:rowOff>182074</xdr:rowOff>
    </xdr:from>
    <xdr:to>
      <xdr:col>1</xdr:col>
      <xdr:colOff>1141019</xdr:colOff>
      <xdr:row>13</xdr:row>
      <xdr:rowOff>21613</xdr:rowOff>
    </xdr:to>
    <xdr:sp macro="" textlink="">
      <xdr:nvSpPr>
        <xdr:cNvPr id="9" name="Rectangle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0DB4D39-C7C2-30BC-453E-DA72D61488DA}"/>
            </a:ext>
          </a:extLst>
        </xdr:cNvPr>
        <xdr:cNvSpPr/>
      </xdr:nvSpPr>
      <xdr:spPr>
        <a:xfrm>
          <a:off x="721026" y="2301119"/>
          <a:ext cx="783869" cy="2248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Customers </a:t>
          </a:r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377759</xdr:colOff>
      <xdr:row>12</xdr:row>
      <xdr:rowOff>188574</xdr:rowOff>
    </xdr:from>
    <xdr:to>
      <xdr:col>1</xdr:col>
      <xdr:colOff>1141019</xdr:colOff>
      <xdr:row>14</xdr:row>
      <xdr:rowOff>28113</xdr:rowOff>
    </xdr:to>
    <xdr:sp macro="" textlink="">
      <xdr:nvSpPr>
        <xdr:cNvPr id="11" name="Rectangle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27E6AF4-E028-738A-E5F8-4409F4C94994}"/>
            </a:ext>
          </a:extLst>
        </xdr:cNvPr>
        <xdr:cNvSpPr/>
      </xdr:nvSpPr>
      <xdr:spPr>
        <a:xfrm>
          <a:off x="741635" y="2500259"/>
          <a:ext cx="763260" cy="2248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Product</a:t>
          </a:r>
        </a:p>
      </xdr:txBody>
    </xdr:sp>
    <xdr:clientData/>
  </xdr:twoCellAnchor>
  <xdr:twoCellAnchor>
    <xdr:from>
      <xdr:col>1</xdr:col>
      <xdr:colOff>377759</xdr:colOff>
      <xdr:row>14</xdr:row>
      <xdr:rowOff>2433</xdr:rowOff>
    </xdr:from>
    <xdr:to>
      <xdr:col>1</xdr:col>
      <xdr:colOff>1141019</xdr:colOff>
      <xdr:row>15</xdr:row>
      <xdr:rowOff>34612</xdr:rowOff>
    </xdr:to>
    <xdr:sp macro="" textlink="">
      <xdr:nvSpPr>
        <xdr:cNvPr id="12" name="Rectangle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423AB72-DEB9-471A-AC77-E3667B321A19}"/>
            </a:ext>
          </a:extLst>
        </xdr:cNvPr>
        <xdr:cNvSpPr/>
      </xdr:nvSpPr>
      <xdr:spPr>
        <a:xfrm>
          <a:off x="741635" y="2699399"/>
          <a:ext cx="763260" cy="2248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377759</xdr:colOff>
      <xdr:row>15</xdr:row>
      <xdr:rowOff>8932</xdr:rowOff>
    </xdr:from>
    <xdr:to>
      <xdr:col>1</xdr:col>
      <xdr:colOff>1141019</xdr:colOff>
      <xdr:row>16</xdr:row>
      <xdr:rowOff>41112</xdr:rowOff>
    </xdr:to>
    <xdr:sp macro="" textlink="">
      <xdr:nvSpPr>
        <xdr:cNvPr id="13" name="Rectangle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8E4A734-6E36-4DF1-947D-F5A4E741026A}"/>
            </a:ext>
          </a:extLst>
        </xdr:cNvPr>
        <xdr:cNvSpPr/>
      </xdr:nvSpPr>
      <xdr:spPr>
        <a:xfrm>
          <a:off x="741635" y="2898539"/>
          <a:ext cx="763260" cy="2248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377759</xdr:colOff>
      <xdr:row>16</xdr:row>
      <xdr:rowOff>15433</xdr:rowOff>
    </xdr:from>
    <xdr:to>
      <xdr:col>1</xdr:col>
      <xdr:colOff>1141019</xdr:colOff>
      <xdr:row>17</xdr:row>
      <xdr:rowOff>47613</xdr:rowOff>
    </xdr:to>
    <xdr:sp macro="" textlink="">
      <xdr:nvSpPr>
        <xdr:cNvPr id="14" name="Rectangle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8D181AB-450C-4979-AC86-5A5F825E3B98}"/>
            </a:ext>
          </a:extLst>
        </xdr:cNvPr>
        <xdr:cNvSpPr/>
      </xdr:nvSpPr>
      <xdr:spPr>
        <a:xfrm>
          <a:off x="741635" y="3097680"/>
          <a:ext cx="763260" cy="2248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345652</xdr:colOff>
      <xdr:row>17</xdr:row>
      <xdr:rowOff>21934</xdr:rowOff>
    </xdr:from>
    <xdr:to>
      <xdr:col>1</xdr:col>
      <xdr:colOff>1108912</xdr:colOff>
      <xdr:row>18</xdr:row>
      <xdr:rowOff>54113</xdr:rowOff>
    </xdr:to>
    <xdr:sp macro="" textlink="">
      <xdr:nvSpPr>
        <xdr:cNvPr id="15" name="Rectangle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521F020-AA7B-4CAF-8B6D-ED3597259631}"/>
            </a:ext>
          </a:extLst>
        </xdr:cNvPr>
        <xdr:cNvSpPr/>
      </xdr:nvSpPr>
      <xdr:spPr>
        <a:xfrm>
          <a:off x="709528" y="3296822"/>
          <a:ext cx="763260" cy="22481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377759</xdr:colOff>
      <xdr:row>18</xdr:row>
      <xdr:rowOff>28434</xdr:rowOff>
    </xdr:from>
    <xdr:to>
      <xdr:col>1</xdr:col>
      <xdr:colOff>1141019</xdr:colOff>
      <xdr:row>19</xdr:row>
      <xdr:rowOff>60614</xdr:rowOff>
    </xdr:to>
    <xdr:sp macro="" textlink="">
      <xdr:nvSpPr>
        <xdr:cNvPr id="16" name="Rectangle 1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94868DC-53BF-4435-A7B6-9BD3DC5F5DE0}"/>
            </a:ext>
          </a:extLst>
        </xdr:cNvPr>
        <xdr:cNvSpPr/>
      </xdr:nvSpPr>
      <xdr:spPr>
        <a:xfrm>
          <a:off x="741635" y="3495962"/>
          <a:ext cx="763260" cy="2248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345652</xdr:colOff>
      <xdr:row>19</xdr:row>
      <xdr:rowOff>34935</xdr:rowOff>
    </xdr:from>
    <xdr:to>
      <xdr:col>1</xdr:col>
      <xdr:colOff>1108912</xdr:colOff>
      <xdr:row>20</xdr:row>
      <xdr:rowOff>67115</xdr:rowOff>
    </xdr:to>
    <xdr:sp macro="" textlink="">
      <xdr:nvSpPr>
        <xdr:cNvPr id="17" name="Rectangle 1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DC8E103-848B-4A19-8F9D-1B2B7A14FBE4}"/>
            </a:ext>
          </a:extLst>
        </xdr:cNvPr>
        <xdr:cNvSpPr/>
      </xdr:nvSpPr>
      <xdr:spPr>
        <a:xfrm>
          <a:off x="709528" y="3695104"/>
          <a:ext cx="763260" cy="2248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Pivots</a:t>
          </a:r>
        </a:p>
      </xdr:txBody>
    </xdr:sp>
    <xdr:clientData/>
  </xdr:twoCellAnchor>
  <xdr:twoCellAnchor editAs="absolute">
    <xdr:from>
      <xdr:col>2</xdr:col>
      <xdr:colOff>460196</xdr:colOff>
      <xdr:row>3</xdr:row>
      <xdr:rowOff>0</xdr:rowOff>
    </xdr:from>
    <xdr:to>
      <xdr:col>4</xdr:col>
      <xdr:colOff>391716</xdr:colOff>
      <xdr:row>4</xdr:row>
      <xdr:rowOff>32180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AB7F4C3D-F6B8-4432-A17C-CF3786D0B62C}"/>
            </a:ext>
          </a:extLst>
        </xdr:cNvPr>
        <xdr:cNvSpPr/>
      </xdr:nvSpPr>
      <xdr:spPr>
        <a:xfrm>
          <a:off x="2207483" y="579223"/>
          <a:ext cx="1229239" cy="22525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 editAs="oneCell">
    <xdr:from>
      <xdr:col>1</xdr:col>
      <xdr:colOff>56406</xdr:colOff>
      <xdr:row>12</xdr:row>
      <xdr:rowOff>27988</xdr:rowOff>
    </xdr:from>
    <xdr:to>
      <xdr:col>1</xdr:col>
      <xdr:colOff>419877</xdr:colOff>
      <xdr:row>12</xdr:row>
      <xdr:rowOff>189263</xdr:rowOff>
    </xdr:to>
    <xdr:pic>
      <xdr:nvPicPr>
        <xdr:cNvPr id="28" name="Graphic 27" descr="Call center with solid fill">
          <a:extLst>
            <a:ext uri="{FF2B5EF4-FFF2-40B4-BE49-F238E27FC236}">
              <a16:creationId xmlns:a16="http://schemas.microsoft.com/office/drawing/2014/main" id="{7C3FE367-E35B-55B9-44BA-9AFEEAF27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420282" y="2339673"/>
          <a:ext cx="363471" cy="161275"/>
        </a:xfrm>
        <a:prstGeom prst="rect">
          <a:avLst/>
        </a:prstGeom>
      </xdr:spPr>
    </xdr:pic>
    <xdr:clientData/>
  </xdr:twoCellAnchor>
  <xdr:twoCellAnchor editAs="oneCell">
    <xdr:from>
      <xdr:col>1</xdr:col>
      <xdr:colOff>131877</xdr:colOff>
      <xdr:row>10</xdr:row>
      <xdr:rowOff>169140</xdr:rowOff>
    </xdr:from>
    <xdr:to>
      <xdr:col>1</xdr:col>
      <xdr:colOff>347877</xdr:colOff>
      <xdr:row>11</xdr:row>
      <xdr:rowOff>192065</xdr:rowOff>
    </xdr:to>
    <xdr:pic>
      <xdr:nvPicPr>
        <xdr:cNvPr id="30" name="Graphic 29" descr="Bar graph with upward trend with solid fill">
          <a:extLst>
            <a:ext uri="{FF2B5EF4-FFF2-40B4-BE49-F238E27FC236}">
              <a16:creationId xmlns:a16="http://schemas.microsoft.com/office/drawing/2014/main" id="{0476A5E6-6ABD-EEBE-1AAB-190B8BEDE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495753" y="2095544"/>
          <a:ext cx="216000" cy="215566"/>
        </a:xfrm>
        <a:prstGeom prst="rect">
          <a:avLst/>
        </a:prstGeom>
      </xdr:spPr>
    </xdr:pic>
    <xdr:clientData/>
  </xdr:twoCellAnchor>
  <xdr:twoCellAnchor editAs="oneCell">
    <xdr:from>
      <xdr:col>1</xdr:col>
      <xdr:colOff>131877</xdr:colOff>
      <xdr:row>15</xdr:row>
      <xdr:rowOff>4217</xdr:rowOff>
    </xdr:from>
    <xdr:to>
      <xdr:col>1</xdr:col>
      <xdr:colOff>347877</xdr:colOff>
      <xdr:row>16</xdr:row>
      <xdr:rowOff>27143</xdr:rowOff>
    </xdr:to>
    <xdr:pic>
      <xdr:nvPicPr>
        <xdr:cNvPr id="32" name="Graphic 31" descr="Books on shelf with solid fill">
          <a:extLst>
            <a:ext uri="{FF2B5EF4-FFF2-40B4-BE49-F238E27FC236}">
              <a16:creationId xmlns:a16="http://schemas.microsoft.com/office/drawing/2014/main" id="{9ECAF536-8DEC-FFF7-8CD2-DF2104CC2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495753" y="2893824"/>
          <a:ext cx="216000" cy="215566"/>
        </a:xfrm>
        <a:prstGeom prst="rect">
          <a:avLst/>
        </a:prstGeom>
      </xdr:spPr>
    </xdr:pic>
    <xdr:clientData/>
  </xdr:twoCellAnchor>
  <xdr:twoCellAnchor editAs="oneCell">
    <xdr:from>
      <xdr:col>1</xdr:col>
      <xdr:colOff>129363</xdr:colOff>
      <xdr:row>12</xdr:row>
      <xdr:rowOff>192399</xdr:rowOff>
    </xdr:from>
    <xdr:to>
      <xdr:col>1</xdr:col>
      <xdr:colOff>309363</xdr:colOff>
      <xdr:row>13</xdr:row>
      <xdr:rowOff>179324</xdr:rowOff>
    </xdr:to>
    <xdr:pic>
      <xdr:nvPicPr>
        <xdr:cNvPr id="34" name="Graphic 33" descr="Building with solid fill">
          <a:extLst>
            <a:ext uri="{FF2B5EF4-FFF2-40B4-BE49-F238E27FC236}">
              <a16:creationId xmlns:a16="http://schemas.microsoft.com/office/drawing/2014/main" id="{963F7718-BB1F-26C6-97F5-386E14391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493239" y="2504084"/>
          <a:ext cx="180000" cy="179566"/>
        </a:xfrm>
        <a:prstGeom prst="rect">
          <a:avLst/>
        </a:prstGeom>
      </xdr:spPr>
    </xdr:pic>
    <xdr:clientData/>
  </xdr:twoCellAnchor>
  <xdr:twoCellAnchor editAs="oneCell">
    <xdr:from>
      <xdr:col>1</xdr:col>
      <xdr:colOff>131877</xdr:colOff>
      <xdr:row>19</xdr:row>
      <xdr:rowOff>59657</xdr:rowOff>
    </xdr:from>
    <xdr:to>
      <xdr:col>1</xdr:col>
      <xdr:colOff>347877</xdr:colOff>
      <xdr:row>20</xdr:row>
      <xdr:rowOff>82583</xdr:rowOff>
    </xdr:to>
    <xdr:pic>
      <xdr:nvPicPr>
        <xdr:cNvPr id="36" name="Graphic 35" descr="Camera with solid fill">
          <a:extLst>
            <a:ext uri="{FF2B5EF4-FFF2-40B4-BE49-F238E27FC236}">
              <a16:creationId xmlns:a16="http://schemas.microsoft.com/office/drawing/2014/main" id="{1AB14AB4-5D49-74ED-359E-4529724FC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495753" y="3719826"/>
          <a:ext cx="216000" cy="215566"/>
        </a:xfrm>
        <a:prstGeom prst="rect">
          <a:avLst/>
        </a:prstGeom>
      </xdr:spPr>
    </xdr:pic>
    <xdr:clientData/>
  </xdr:twoCellAnchor>
  <xdr:twoCellAnchor editAs="oneCell">
    <xdr:from>
      <xdr:col>1</xdr:col>
      <xdr:colOff>131877</xdr:colOff>
      <xdr:row>16</xdr:row>
      <xdr:rowOff>42326</xdr:rowOff>
    </xdr:from>
    <xdr:to>
      <xdr:col>1</xdr:col>
      <xdr:colOff>347877</xdr:colOff>
      <xdr:row>17</xdr:row>
      <xdr:rowOff>65252</xdr:rowOff>
    </xdr:to>
    <xdr:pic>
      <xdr:nvPicPr>
        <xdr:cNvPr id="38" name="Graphic 37" descr="Cheers with solid fill">
          <a:extLst>
            <a:ext uri="{FF2B5EF4-FFF2-40B4-BE49-F238E27FC236}">
              <a16:creationId xmlns:a16="http://schemas.microsoft.com/office/drawing/2014/main" id="{76EC9B17-19E5-4FFE-3C24-0CCC5D682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495753" y="3124573"/>
          <a:ext cx="216000" cy="215567"/>
        </a:xfrm>
        <a:prstGeom prst="rect">
          <a:avLst/>
        </a:prstGeom>
      </xdr:spPr>
    </xdr:pic>
    <xdr:clientData/>
  </xdr:twoCellAnchor>
  <xdr:twoCellAnchor editAs="oneCell">
    <xdr:from>
      <xdr:col>1</xdr:col>
      <xdr:colOff>113877</xdr:colOff>
      <xdr:row>17</xdr:row>
      <xdr:rowOff>5689</xdr:rowOff>
    </xdr:from>
    <xdr:to>
      <xdr:col>1</xdr:col>
      <xdr:colOff>365877</xdr:colOff>
      <xdr:row>18</xdr:row>
      <xdr:rowOff>64614</xdr:rowOff>
    </xdr:to>
    <xdr:pic>
      <xdr:nvPicPr>
        <xdr:cNvPr id="40" name="Graphic 39" descr="City with solid fill">
          <a:extLst>
            <a:ext uri="{FF2B5EF4-FFF2-40B4-BE49-F238E27FC236}">
              <a16:creationId xmlns:a16="http://schemas.microsoft.com/office/drawing/2014/main" id="{D69474F4-740C-4B05-D63B-4799A117B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96DAC541-7B7A-43D3-8B79-37D633B846F1}">
              <asvg:svgBlip xmlns:asvg="http://schemas.microsoft.com/office/drawing/2016/SVG/main" r:embed="rId25"/>
            </a:ext>
          </a:extLst>
        </a:blip>
        <a:stretch>
          <a:fillRect/>
        </a:stretch>
      </xdr:blipFill>
      <xdr:spPr>
        <a:xfrm>
          <a:off x="477753" y="3280577"/>
          <a:ext cx="252000" cy="251565"/>
        </a:xfrm>
        <a:prstGeom prst="rect">
          <a:avLst/>
        </a:prstGeom>
      </xdr:spPr>
    </xdr:pic>
    <xdr:clientData/>
  </xdr:twoCellAnchor>
  <xdr:twoCellAnchor editAs="oneCell">
    <xdr:from>
      <xdr:col>1</xdr:col>
      <xdr:colOff>149978</xdr:colOff>
      <xdr:row>14</xdr:row>
      <xdr:rowOff>1229</xdr:rowOff>
    </xdr:from>
    <xdr:to>
      <xdr:col>1</xdr:col>
      <xdr:colOff>365978</xdr:colOff>
      <xdr:row>15</xdr:row>
      <xdr:rowOff>24154</xdr:rowOff>
    </xdr:to>
    <xdr:pic>
      <xdr:nvPicPr>
        <xdr:cNvPr id="42" name="Graphic 41" descr="Cloud Computing with solid fill">
          <a:extLst>
            <a:ext uri="{FF2B5EF4-FFF2-40B4-BE49-F238E27FC236}">
              <a16:creationId xmlns:a16="http://schemas.microsoft.com/office/drawing/2014/main" id="{37BF6DDE-0D9A-803F-2084-E7EFB14E8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96DAC541-7B7A-43D3-8B79-37D633B846F1}">
              <asvg:svgBlip xmlns:asvg="http://schemas.microsoft.com/office/drawing/2016/SVG/main" r:embed="rId27"/>
            </a:ext>
          </a:extLst>
        </a:blip>
        <a:stretch>
          <a:fillRect/>
        </a:stretch>
      </xdr:blipFill>
      <xdr:spPr>
        <a:xfrm>
          <a:off x="513854" y="2698195"/>
          <a:ext cx="216000" cy="215566"/>
        </a:xfrm>
        <a:prstGeom prst="rect">
          <a:avLst/>
        </a:prstGeom>
      </xdr:spPr>
    </xdr:pic>
    <xdr:clientData/>
  </xdr:twoCellAnchor>
  <xdr:twoCellAnchor editAs="oneCell">
    <xdr:from>
      <xdr:col>1</xdr:col>
      <xdr:colOff>131877</xdr:colOff>
      <xdr:row>18</xdr:row>
      <xdr:rowOff>48255</xdr:rowOff>
    </xdr:from>
    <xdr:to>
      <xdr:col>1</xdr:col>
      <xdr:colOff>347877</xdr:colOff>
      <xdr:row>19</xdr:row>
      <xdr:rowOff>71181</xdr:rowOff>
    </xdr:to>
    <xdr:pic>
      <xdr:nvPicPr>
        <xdr:cNvPr id="44" name="Graphic 43" descr="Globe with solid fill">
          <a:extLst>
            <a:ext uri="{FF2B5EF4-FFF2-40B4-BE49-F238E27FC236}">
              <a16:creationId xmlns:a16="http://schemas.microsoft.com/office/drawing/2014/main" id="{26FB5DAD-1D6F-636E-FA90-1C2CCA524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96DAC541-7B7A-43D3-8B79-37D633B846F1}">
              <asvg:svgBlip xmlns:asvg="http://schemas.microsoft.com/office/drawing/2016/SVG/main" r:embed="rId29"/>
            </a:ext>
          </a:extLst>
        </a:blip>
        <a:stretch>
          <a:fillRect/>
        </a:stretch>
      </xdr:blipFill>
      <xdr:spPr>
        <a:xfrm>
          <a:off x="495753" y="3515783"/>
          <a:ext cx="216000" cy="215567"/>
        </a:xfrm>
        <a:prstGeom prst="rect">
          <a:avLst/>
        </a:prstGeom>
      </xdr:spPr>
    </xdr:pic>
    <xdr:clientData/>
  </xdr:twoCellAnchor>
  <xdr:twoCellAnchor editAs="absolute">
    <xdr:from>
      <xdr:col>2</xdr:col>
      <xdr:colOff>60238</xdr:colOff>
      <xdr:row>1</xdr:row>
      <xdr:rowOff>12872</xdr:rowOff>
    </xdr:from>
    <xdr:to>
      <xdr:col>18</xdr:col>
      <xdr:colOff>174216</xdr:colOff>
      <xdr:row>4</xdr:row>
      <xdr:rowOff>141588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C35C6F6C-0261-E359-6789-7C78E1CA58E0}"/>
            </a:ext>
          </a:extLst>
        </xdr:cNvPr>
        <xdr:cNvSpPr/>
      </xdr:nvSpPr>
      <xdr:spPr>
        <a:xfrm>
          <a:off x="1815407" y="205512"/>
          <a:ext cx="9949343" cy="706638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l"/>
          <a:r>
            <a:rPr lang="en-US" sz="2800">
              <a:solidFill>
                <a:schemeClr val="tx1"/>
              </a:solidFill>
            </a:rPr>
            <a:t> INVENTORY MANAGEMENT SYSTEM </a:t>
          </a:r>
          <a:endParaRPr lang="en-IN" sz="28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4</xdr:col>
      <xdr:colOff>500610</xdr:colOff>
      <xdr:row>5</xdr:row>
      <xdr:rowOff>147836</xdr:rowOff>
    </xdr:from>
    <xdr:to>
      <xdr:col>7</xdr:col>
      <xdr:colOff>30562</xdr:colOff>
      <xdr:row>9</xdr:row>
      <xdr:rowOff>9888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5CD75BC-BE4F-8873-1B36-3B4E5BFD83AD}"/>
            </a:ext>
          </a:extLst>
        </xdr:cNvPr>
        <xdr:cNvSpPr/>
      </xdr:nvSpPr>
      <xdr:spPr>
        <a:xfrm>
          <a:off x="3554015" y="1116480"/>
          <a:ext cx="1366930" cy="636967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  Products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4</xdr:col>
      <xdr:colOff>500610</xdr:colOff>
      <xdr:row>5</xdr:row>
      <xdr:rowOff>147836</xdr:rowOff>
    </xdr:from>
    <xdr:to>
      <xdr:col>5</xdr:col>
      <xdr:colOff>2254</xdr:colOff>
      <xdr:row>9</xdr:row>
      <xdr:rowOff>9888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CEB7D9C7-9D32-A329-5B3F-C2B8941BB3EC}"/>
            </a:ext>
          </a:extLst>
        </xdr:cNvPr>
        <xdr:cNvSpPr/>
      </xdr:nvSpPr>
      <xdr:spPr>
        <a:xfrm>
          <a:off x="3542365" y="1080697"/>
          <a:ext cx="111673" cy="608340"/>
        </a:xfrm>
        <a:prstGeom prst="rect">
          <a:avLst/>
        </a:prstGeom>
        <a:solidFill>
          <a:schemeClr val="accent2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2</xdr:col>
      <xdr:colOff>188051</xdr:colOff>
      <xdr:row>5</xdr:row>
      <xdr:rowOff>135386</xdr:rowOff>
    </xdr:from>
    <xdr:to>
      <xdr:col>4</xdr:col>
      <xdr:colOff>253116</xdr:colOff>
      <xdr:row>8</xdr:row>
      <xdr:rowOff>190078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30374148-450E-CEAC-3EAF-03B85DD6DCF0}"/>
            </a:ext>
          </a:extLst>
        </xdr:cNvPr>
        <xdr:cNvSpPr/>
      </xdr:nvSpPr>
      <xdr:spPr>
        <a:xfrm>
          <a:off x="1943220" y="1098588"/>
          <a:ext cx="1360036" cy="632614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  Customer 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2</xdr:col>
      <xdr:colOff>142249</xdr:colOff>
      <xdr:row>5</xdr:row>
      <xdr:rowOff>138016</xdr:rowOff>
    </xdr:from>
    <xdr:to>
      <xdr:col>2</xdr:col>
      <xdr:colOff>253922</xdr:colOff>
      <xdr:row>9</xdr:row>
      <xdr:rowOff>68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A014E5F0-12FD-68A4-B4C8-EB104323E2D6}"/>
            </a:ext>
          </a:extLst>
        </xdr:cNvPr>
        <xdr:cNvSpPr/>
      </xdr:nvSpPr>
      <xdr:spPr>
        <a:xfrm>
          <a:off x="1892674" y="1070877"/>
          <a:ext cx="111673" cy="60834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7</xdr:col>
      <xdr:colOff>412234</xdr:colOff>
      <xdr:row>5</xdr:row>
      <xdr:rowOff>138016</xdr:rowOff>
    </xdr:from>
    <xdr:to>
      <xdr:col>9</xdr:col>
      <xdr:colOff>552214</xdr:colOff>
      <xdr:row>9</xdr:row>
      <xdr:rowOff>68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88A70B6D-EC04-8EE9-D666-6300192A43F2}"/>
            </a:ext>
          </a:extLst>
        </xdr:cNvPr>
        <xdr:cNvSpPr/>
      </xdr:nvSpPr>
      <xdr:spPr>
        <a:xfrm>
          <a:off x="5280432" y="1070877"/>
          <a:ext cx="1357609" cy="60834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  Purchase</a:t>
          </a:r>
          <a:r>
            <a:rPr lang="en-US" sz="1100" baseline="0">
              <a:solidFill>
                <a:sysClr val="windowText" lastClr="000000"/>
              </a:solidFill>
            </a:rPr>
            <a:t> Amt.</a:t>
          </a:r>
          <a:r>
            <a:rPr lang="en-US" sz="1100">
              <a:solidFill>
                <a:sysClr val="windowText" lastClr="000000"/>
              </a:solidFill>
            </a:rPr>
            <a:t> 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7</xdr:col>
      <xdr:colOff>412234</xdr:colOff>
      <xdr:row>5</xdr:row>
      <xdr:rowOff>138016</xdr:rowOff>
    </xdr:from>
    <xdr:to>
      <xdr:col>7</xdr:col>
      <xdr:colOff>523907</xdr:colOff>
      <xdr:row>9</xdr:row>
      <xdr:rowOff>68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A054FE55-AE11-01D3-8D47-4BF71FAE2284}"/>
            </a:ext>
          </a:extLst>
        </xdr:cNvPr>
        <xdr:cNvSpPr/>
      </xdr:nvSpPr>
      <xdr:spPr>
        <a:xfrm>
          <a:off x="5280432" y="1070877"/>
          <a:ext cx="111673" cy="608340"/>
        </a:xfrm>
        <a:prstGeom prst="rect">
          <a:avLst/>
        </a:prstGeom>
        <a:solidFill>
          <a:schemeClr val="accent4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10</xdr:col>
      <xdr:colOff>194990</xdr:colOff>
      <xdr:row>5</xdr:row>
      <xdr:rowOff>128196</xdr:rowOff>
    </xdr:from>
    <xdr:to>
      <xdr:col>12</xdr:col>
      <xdr:colOff>334970</xdr:colOff>
      <xdr:row>8</xdr:row>
      <xdr:rowOff>176820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C173B99B-4272-9260-82D8-0463393E2615}"/>
            </a:ext>
          </a:extLst>
        </xdr:cNvPr>
        <xdr:cNvSpPr/>
      </xdr:nvSpPr>
      <xdr:spPr>
        <a:xfrm>
          <a:off x="6890845" y="1061057"/>
          <a:ext cx="1357609" cy="60834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  Sales</a:t>
          </a:r>
          <a:r>
            <a:rPr lang="en-US" sz="1100" baseline="0">
              <a:solidFill>
                <a:sysClr val="windowText" lastClr="000000"/>
              </a:solidFill>
            </a:rPr>
            <a:t> Amt.</a:t>
          </a:r>
          <a:r>
            <a:rPr lang="en-US" sz="1100">
              <a:solidFill>
                <a:sysClr val="windowText" lastClr="000000"/>
              </a:solidFill>
            </a:rPr>
            <a:t> 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10</xdr:col>
      <xdr:colOff>194990</xdr:colOff>
      <xdr:row>5</xdr:row>
      <xdr:rowOff>128196</xdr:rowOff>
    </xdr:from>
    <xdr:to>
      <xdr:col>10</xdr:col>
      <xdr:colOff>306663</xdr:colOff>
      <xdr:row>8</xdr:row>
      <xdr:rowOff>176820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E431B3A-C37B-6447-4A5E-AE7B4E456115}"/>
            </a:ext>
          </a:extLst>
        </xdr:cNvPr>
        <xdr:cNvSpPr/>
      </xdr:nvSpPr>
      <xdr:spPr>
        <a:xfrm>
          <a:off x="6890845" y="1061057"/>
          <a:ext cx="111673" cy="60834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13</xdr:col>
      <xdr:colOff>47696</xdr:colOff>
      <xdr:row>5</xdr:row>
      <xdr:rowOff>118376</xdr:rowOff>
    </xdr:from>
    <xdr:to>
      <xdr:col>15</xdr:col>
      <xdr:colOff>187677</xdr:colOff>
      <xdr:row>8</xdr:row>
      <xdr:rowOff>167000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8089FDAB-C708-B62F-11F6-AF1C3EB77712}"/>
            </a:ext>
          </a:extLst>
        </xdr:cNvPr>
        <xdr:cNvSpPr/>
      </xdr:nvSpPr>
      <xdr:spPr>
        <a:xfrm>
          <a:off x="8569995" y="1051237"/>
          <a:ext cx="1357609" cy="60834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  Stock</a:t>
          </a:r>
          <a:r>
            <a:rPr lang="en-US" sz="1100" baseline="0">
              <a:solidFill>
                <a:sysClr val="windowText" lastClr="000000"/>
              </a:solidFill>
            </a:rPr>
            <a:t> Amt.</a:t>
          </a:r>
          <a:r>
            <a:rPr lang="en-US" sz="1100">
              <a:solidFill>
                <a:sysClr val="windowText" lastClr="000000"/>
              </a:solidFill>
            </a:rPr>
            <a:t> 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13</xdr:col>
      <xdr:colOff>47696</xdr:colOff>
      <xdr:row>5</xdr:row>
      <xdr:rowOff>118376</xdr:rowOff>
    </xdr:from>
    <xdr:to>
      <xdr:col>13</xdr:col>
      <xdr:colOff>159369</xdr:colOff>
      <xdr:row>8</xdr:row>
      <xdr:rowOff>167000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70667071-8B50-CA2A-9B13-834E27E46224}"/>
            </a:ext>
          </a:extLst>
        </xdr:cNvPr>
        <xdr:cNvSpPr/>
      </xdr:nvSpPr>
      <xdr:spPr>
        <a:xfrm>
          <a:off x="8569995" y="1051237"/>
          <a:ext cx="111673" cy="608340"/>
        </a:xfrm>
        <a:prstGeom prst="rect">
          <a:avLst/>
        </a:prstGeom>
        <a:solidFill>
          <a:srgbClr val="00B0F0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15</xdr:col>
      <xdr:colOff>490791</xdr:colOff>
      <xdr:row>5</xdr:row>
      <xdr:rowOff>98737</xdr:rowOff>
    </xdr:from>
    <xdr:to>
      <xdr:col>18</xdr:col>
      <xdr:colOff>20743</xdr:colOff>
      <xdr:row>8</xdr:row>
      <xdr:rowOff>147361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F1434CF0-776C-F8F5-5ADC-4DCEE0176592}"/>
            </a:ext>
          </a:extLst>
        </xdr:cNvPr>
        <xdr:cNvSpPr/>
      </xdr:nvSpPr>
      <xdr:spPr>
        <a:xfrm>
          <a:off x="10229505" y="1031598"/>
          <a:ext cx="1357609" cy="60834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  Profit/Loss 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15</xdr:col>
      <xdr:colOff>480972</xdr:colOff>
      <xdr:row>5</xdr:row>
      <xdr:rowOff>98738</xdr:rowOff>
    </xdr:from>
    <xdr:to>
      <xdr:col>15</xdr:col>
      <xdr:colOff>592645</xdr:colOff>
      <xdr:row>8</xdr:row>
      <xdr:rowOff>147362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BAFB8820-E348-3F38-670B-F696CB5BE0EF}"/>
            </a:ext>
          </a:extLst>
        </xdr:cNvPr>
        <xdr:cNvSpPr/>
      </xdr:nvSpPr>
      <xdr:spPr>
        <a:xfrm>
          <a:off x="10219686" y="1031599"/>
          <a:ext cx="111673" cy="608340"/>
        </a:xfrm>
        <a:prstGeom prst="rect">
          <a:avLst/>
        </a:prstGeom>
        <a:solidFill>
          <a:schemeClr val="accent3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2</xdr:col>
      <xdr:colOff>366778</xdr:colOff>
      <xdr:row>6</xdr:row>
      <xdr:rowOff>145297</xdr:rowOff>
    </xdr:from>
    <xdr:to>
      <xdr:col>4</xdr:col>
      <xdr:colOff>114278</xdr:colOff>
      <xdr:row>8</xdr:row>
      <xdr:rowOff>177585</xdr:rowOff>
    </xdr:to>
    <xdr:sp macro="" textlink="Pivot!C3">
      <xdr:nvSpPr>
        <xdr:cNvPr id="73" name="Rectangle 72">
          <a:extLst>
            <a:ext uri="{FF2B5EF4-FFF2-40B4-BE49-F238E27FC236}">
              <a16:creationId xmlns:a16="http://schemas.microsoft.com/office/drawing/2014/main" id="{18750E24-9B41-02FD-D3E0-76E1423209B0}"/>
            </a:ext>
          </a:extLst>
        </xdr:cNvPr>
        <xdr:cNvSpPr/>
      </xdr:nvSpPr>
      <xdr:spPr>
        <a:xfrm>
          <a:off x="2114873" y="1307670"/>
          <a:ext cx="1049364" cy="41974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2139AC6-708F-4E18-83B4-CCCBCCD1E236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7</a:t>
          </a:fld>
          <a:endParaRPr lang="en-IN" sz="1100" b="1"/>
        </a:p>
      </xdr:txBody>
    </xdr:sp>
    <xdr:clientData/>
  </xdr:twoCellAnchor>
  <xdr:twoCellAnchor editAs="absolute">
    <xdr:from>
      <xdr:col>5</xdr:col>
      <xdr:colOff>73918</xdr:colOff>
      <xdr:row>6</xdr:row>
      <xdr:rowOff>137224</xdr:rowOff>
    </xdr:from>
    <xdr:to>
      <xdr:col>6</xdr:col>
      <xdr:colOff>506361</xdr:colOff>
      <xdr:row>8</xdr:row>
      <xdr:rowOff>169512</xdr:rowOff>
    </xdr:to>
    <xdr:sp macro="" textlink="Pivot!C6">
      <xdr:nvSpPr>
        <xdr:cNvPr id="74" name="Rectangle 73">
          <a:extLst>
            <a:ext uri="{FF2B5EF4-FFF2-40B4-BE49-F238E27FC236}">
              <a16:creationId xmlns:a16="http://schemas.microsoft.com/office/drawing/2014/main" id="{1375C930-A6C3-BA4D-3738-B7F4820F2175}"/>
            </a:ext>
          </a:extLst>
        </xdr:cNvPr>
        <xdr:cNvSpPr/>
      </xdr:nvSpPr>
      <xdr:spPr>
        <a:xfrm>
          <a:off x="3737352" y="1299597"/>
          <a:ext cx="1049364" cy="41974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5B0525E1-DB21-4B7D-96A4-6C330955EAEE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10</a:t>
          </a:fld>
          <a:endParaRPr lang="en-IN" sz="11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 editAs="absolute">
    <xdr:from>
      <xdr:col>7</xdr:col>
      <xdr:colOff>579010</xdr:colOff>
      <xdr:row>6</xdr:row>
      <xdr:rowOff>161442</xdr:rowOff>
    </xdr:from>
    <xdr:to>
      <xdr:col>9</xdr:col>
      <xdr:colOff>401425</xdr:colOff>
      <xdr:row>9</xdr:row>
      <xdr:rowOff>2</xdr:rowOff>
    </xdr:to>
    <xdr:sp macro="" textlink="Pivot!C9">
      <xdr:nvSpPr>
        <xdr:cNvPr id="75" name="Rectangle 74">
          <a:extLst>
            <a:ext uri="{FF2B5EF4-FFF2-40B4-BE49-F238E27FC236}">
              <a16:creationId xmlns:a16="http://schemas.microsoft.com/office/drawing/2014/main" id="{6E3EC25A-D745-C15F-259A-EB4FB729FC30}"/>
            </a:ext>
          </a:extLst>
        </xdr:cNvPr>
        <xdr:cNvSpPr/>
      </xdr:nvSpPr>
      <xdr:spPr>
        <a:xfrm>
          <a:off x="5472839" y="1323815"/>
          <a:ext cx="1049364" cy="41974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849D6400-E3CE-4104-911B-28C36D481612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₹ 4,67,713</a:t>
          </a:fld>
          <a:endParaRPr lang="en-IN" sz="1100" b="1"/>
        </a:p>
      </xdr:txBody>
    </xdr:sp>
    <xdr:clientData/>
  </xdr:twoCellAnchor>
  <xdr:twoCellAnchor editAs="absolute">
    <xdr:from>
      <xdr:col>10</xdr:col>
      <xdr:colOff>380656</xdr:colOff>
      <xdr:row>6</xdr:row>
      <xdr:rowOff>121081</xdr:rowOff>
    </xdr:from>
    <xdr:to>
      <xdr:col>12</xdr:col>
      <xdr:colOff>203071</xdr:colOff>
      <xdr:row>8</xdr:row>
      <xdr:rowOff>153369</xdr:rowOff>
    </xdr:to>
    <xdr:sp macro="" textlink="Pivot!C12">
      <xdr:nvSpPr>
        <xdr:cNvPr id="76" name="Rectangle 75">
          <a:extLst>
            <a:ext uri="{FF2B5EF4-FFF2-40B4-BE49-F238E27FC236}">
              <a16:creationId xmlns:a16="http://schemas.microsoft.com/office/drawing/2014/main" id="{7D182BB2-95F1-A665-B7A7-FB90B112E09A}"/>
            </a:ext>
          </a:extLst>
        </xdr:cNvPr>
        <xdr:cNvSpPr/>
      </xdr:nvSpPr>
      <xdr:spPr>
        <a:xfrm>
          <a:off x="7111462" y="1283454"/>
          <a:ext cx="1049364" cy="41974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B25A7B9-5DB3-4991-871D-3398AF5155BE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₹ 6,65,504</a:t>
          </a:fld>
          <a:endParaRPr lang="en-IN" sz="1100" b="1"/>
        </a:p>
      </xdr:txBody>
    </xdr:sp>
    <xdr:clientData/>
  </xdr:twoCellAnchor>
  <xdr:twoCellAnchor editAs="absolute">
    <xdr:from>
      <xdr:col>13</xdr:col>
      <xdr:colOff>211143</xdr:colOff>
      <xdr:row>6</xdr:row>
      <xdr:rowOff>113009</xdr:rowOff>
    </xdr:from>
    <xdr:to>
      <xdr:col>15</xdr:col>
      <xdr:colOff>33558</xdr:colOff>
      <xdr:row>8</xdr:row>
      <xdr:rowOff>145297</xdr:rowOff>
    </xdr:to>
    <xdr:sp macro="" textlink="Pivot!C15">
      <xdr:nvSpPr>
        <xdr:cNvPr id="77" name="Rectangle 76">
          <a:extLst>
            <a:ext uri="{FF2B5EF4-FFF2-40B4-BE49-F238E27FC236}">
              <a16:creationId xmlns:a16="http://schemas.microsoft.com/office/drawing/2014/main" id="{4D245E13-4861-D818-CCDE-30A41BC9BC61}"/>
            </a:ext>
          </a:extLst>
        </xdr:cNvPr>
        <xdr:cNvSpPr/>
      </xdr:nvSpPr>
      <xdr:spPr>
        <a:xfrm>
          <a:off x="8782373" y="1275382"/>
          <a:ext cx="1049364" cy="41974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AAB3BA5F-F6B3-4EBC-99BF-4B1DF692E80A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-₹ 88,675</a:t>
          </a:fld>
          <a:endParaRPr lang="en-IN" sz="1100" b="1"/>
        </a:p>
      </xdr:txBody>
    </xdr:sp>
    <xdr:clientData/>
  </xdr:twoCellAnchor>
  <xdr:twoCellAnchor editAs="absolute">
    <xdr:from>
      <xdr:col>16</xdr:col>
      <xdr:colOff>81989</xdr:colOff>
      <xdr:row>6</xdr:row>
      <xdr:rowOff>96864</xdr:rowOff>
    </xdr:from>
    <xdr:to>
      <xdr:col>17</xdr:col>
      <xdr:colOff>514433</xdr:colOff>
      <xdr:row>8</xdr:row>
      <xdr:rowOff>129152</xdr:rowOff>
    </xdr:to>
    <xdr:sp macro="" textlink="Pivot!C18">
      <xdr:nvSpPr>
        <xdr:cNvPr id="78" name="Rectangle 77">
          <a:extLst>
            <a:ext uri="{FF2B5EF4-FFF2-40B4-BE49-F238E27FC236}">
              <a16:creationId xmlns:a16="http://schemas.microsoft.com/office/drawing/2014/main" id="{15E644E7-0C98-3BA2-E1D4-886E92B9CD2E}"/>
            </a:ext>
          </a:extLst>
        </xdr:cNvPr>
        <xdr:cNvSpPr/>
      </xdr:nvSpPr>
      <xdr:spPr>
        <a:xfrm>
          <a:off x="10493644" y="1259237"/>
          <a:ext cx="1049364" cy="41974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1B82C121-9AAC-41E0-814D-A57ED0D68D96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₹ 1,09,116</a:t>
          </a:fld>
          <a:endParaRPr lang="en-IN" sz="1100" b="1"/>
        </a:p>
      </xdr:txBody>
    </xdr:sp>
    <xdr:clientData/>
  </xdr:twoCellAnchor>
  <xdr:twoCellAnchor>
    <xdr:from>
      <xdr:col>2</xdr:col>
      <xdr:colOff>76200</xdr:colOff>
      <xdr:row>9</xdr:row>
      <xdr:rowOff>104775</xdr:rowOff>
    </xdr:from>
    <xdr:to>
      <xdr:col>6</xdr:col>
      <xdr:colOff>561975</xdr:colOff>
      <xdr:row>17</xdr:row>
      <xdr:rowOff>133350</xdr:rowOff>
    </xdr:to>
    <xdr:graphicFrame macro="">
      <xdr:nvGraphicFramePr>
        <xdr:cNvPr id="79" name="Chart 78">
          <a:extLst>
            <a:ext uri="{FF2B5EF4-FFF2-40B4-BE49-F238E27FC236}">
              <a16:creationId xmlns:a16="http://schemas.microsoft.com/office/drawing/2014/main" id="{72FAA729-A263-4D6D-BB4E-415AC1E139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7</xdr:col>
      <xdr:colOff>19050</xdr:colOff>
      <xdr:row>9</xdr:row>
      <xdr:rowOff>85726</xdr:rowOff>
    </xdr:from>
    <xdr:to>
      <xdr:col>11</xdr:col>
      <xdr:colOff>523875</xdr:colOff>
      <xdr:row>17</xdr:row>
      <xdr:rowOff>104775</xdr:rowOff>
    </xdr:to>
    <xdr:graphicFrame macro="">
      <xdr:nvGraphicFramePr>
        <xdr:cNvPr id="80" name="Chart 79">
          <a:extLst>
            <a:ext uri="{FF2B5EF4-FFF2-40B4-BE49-F238E27FC236}">
              <a16:creationId xmlns:a16="http://schemas.microsoft.com/office/drawing/2014/main" id="{82AE8E60-25DC-47D0-A02C-A339135DD6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</xdr:col>
      <xdr:colOff>66675</xdr:colOff>
      <xdr:row>18</xdr:row>
      <xdr:rowOff>9524</xdr:rowOff>
    </xdr:from>
    <xdr:to>
      <xdr:col>11</xdr:col>
      <xdr:colOff>533400</xdr:colOff>
      <xdr:row>30</xdr:row>
      <xdr:rowOff>19049</xdr:rowOff>
    </xdr:to>
    <xdr:graphicFrame macro="">
      <xdr:nvGraphicFramePr>
        <xdr:cNvPr id="81" name="Chart 80">
          <a:extLst>
            <a:ext uri="{FF2B5EF4-FFF2-40B4-BE49-F238E27FC236}">
              <a16:creationId xmlns:a16="http://schemas.microsoft.com/office/drawing/2014/main" id="{3E5F654E-E3CB-4227-8DC7-2A528790D3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257434</xdr:colOff>
      <xdr:row>1</xdr:row>
      <xdr:rowOff>102973</xdr:rowOff>
    </xdr:from>
    <xdr:to>
      <xdr:col>1</xdr:col>
      <xdr:colOff>901015</xdr:colOff>
      <xdr:row>4</xdr:row>
      <xdr:rowOff>167331</xdr:rowOff>
    </xdr:to>
    <xdr:pic>
      <xdr:nvPicPr>
        <xdr:cNvPr id="2" name="Graphic 1" descr="Books with solid fill">
          <a:extLst>
            <a:ext uri="{FF2B5EF4-FFF2-40B4-BE49-F238E27FC236}">
              <a16:creationId xmlns:a16="http://schemas.microsoft.com/office/drawing/2014/main" id="{3B42968A-B0AC-4825-8CB5-1E1A293CB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19384" y="293473"/>
          <a:ext cx="643581" cy="635858"/>
        </a:xfrm>
        <a:prstGeom prst="rect">
          <a:avLst/>
        </a:prstGeom>
      </xdr:spPr>
    </xdr:pic>
    <xdr:clientData/>
  </xdr:twoCellAnchor>
  <xdr:twoCellAnchor>
    <xdr:from>
      <xdr:col>0</xdr:col>
      <xdr:colOff>334662</xdr:colOff>
      <xdr:row>4</xdr:row>
      <xdr:rowOff>154460</xdr:rowOff>
    </xdr:from>
    <xdr:to>
      <xdr:col>1</xdr:col>
      <xdr:colOff>1203496</xdr:colOff>
      <xdr:row>7</xdr:row>
      <xdr:rowOff>12873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DE4A7B5-C2DA-4001-B4A5-544D99351AF2}"/>
            </a:ext>
          </a:extLst>
        </xdr:cNvPr>
        <xdr:cNvSpPr/>
      </xdr:nvSpPr>
      <xdr:spPr>
        <a:xfrm>
          <a:off x="334662" y="916460"/>
          <a:ext cx="1230784" cy="4299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900" b="1">
              <a:solidFill>
                <a:schemeClr val="tx1"/>
              </a:solidFill>
            </a:rPr>
            <a:t>Inventory </a:t>
          </a:r>
          <a:r>
            <a:rPr lang="en-US" sz="900" b="1">
              <a:solidFill>
                <a:schemeClr val="tx1"/>
              </a:solidFill>
            </a:rPr>
            <a:t>Management System </a:t>
          </a:r>
          <a:endParaRPr lang="en-IN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260034</xdr:colOff>
      <xdr:row>7</xdr:row>
      <xdr:rowOff>57922</xdr:rowOff>
    </xdr:from>
    <xdr:to>
      <xdr:col>1</xdr:col>
      <xdr:colOff>1023294</xdr:colOff>
      <xdr:row>8</xdr:row>
      <xdr:rowOff>90101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EB0D96E-3ACD-42EF-86C4-251291B1D1DA}"/>
            </a:ext>
          </a:extLst>
        </xdr:cNvPr>
        <xdr:cNvSpPr/>
      </xdr:nvSpPr>
      <xdr:spPr>
        <a:xfrm>
          <a:off x="621984" y="1391422"/>
          <a:ext cx="763260" cy="22267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Dashboard </a:t>
          </a:r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239425</xdr:colOff>
      <xdr:row>8</xdr:row>
      <xdr:rowOff>32242</xdr:rowOff>
    </xdr:from>
    <xdr:to>
      <xdr:col>1</xdr:col>
      <xdr:colOff>1023294</xdr:colOff>
      <xdr:row>9</xdr:row>
      <xdr:rowOff>64422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AD9F7F6-2CBB-4247-8999-6006ACCF5217}"/>
            </a:ext>
          </a:extLst>
        </xdr:cNvPr>
        <xdr:cNvSpPr/>
      </xdr:nvSpPr>
      <xdr:spPr>
        <a:xfrm>
          <a:off x="601375" y="1556242"/>
          <a:ext cx="783869" cy="2226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/>
              </a:solidFill>
            </a:rPr>
            <a:t>Customers</a:t>
          </a:r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 </a:t>
          </a:r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260034</xdr:colOff>
      <xdr:row>9</xdr:row>
      <xdr:rowOff>38742</xdr:rowOff>
    </xdr:from>
    <xdr:to>
      <xdr:col>1</xdr:col>
      <xdr:colOff>1023294</xdr:colOff>
      <xdr:row>10</xdr:row>
      <xdr:rowOff>70922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209CA1F-8AFC-42C1-803D-1CC19DD1B8D3}"/>
            </a:ext>
          </a:extLst>
        </xdr:cNvPr>
        <xdr:cNvSpPr/>
      </xdr:nvSpPr>
      <xdr:spPr>
        <a:xfrm>
          <a:off x="621984" y="1753242"/>
          <a:ext cx="763260" cy="2226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Product</a:t>
          </a:r>
        </a:p>
      </xdr:txBody>
    </xdr:sp>
    <xdr:clientData/>
  </xdr:twoCellAnchor>
  <xdr:twoCellAnchor>
    <xdr:from>
      <xdr:col>1</xdr:col>
      <xdr:colOff>260034</xdr:colOff>
      <xdr:row>10</xdr:row>
      <xdr:rowOff>45242</xdr:rowOff>
    </xdr:from>
    <xdr:to>
      <xdr:col>1</xdr:col>
      <xdr:colOff>1023294</xdr:colOff>
      <xdr:row>11</xdr:row>
      <xdr:rowOff>77421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25A07A6-F7F4-425C-9568-FD1E91815318}"/>
            </a:ext>
          </a:extLst>
        </xdr:cNvPr>
        <xdr:cNvSpPr/>
      </xdr:nvSpPr>
      <xdr:spPr>
        <a:xfrm>
          <a:off x="621984" y="1950242"/>
          <a:ext cx="763260" cy="22267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260034</xdr:colOff>
      <xdr:row>11</xdr:row>
      <xdr:rowOff>51741</xdr:rowOff>
    </xdr:from>
    <xdr:to>
      <xdr:col>1</xdr:col>
      <xdr:colOff>1023294</xdr:colOff>
      <xdr:row>12</xdr:row>
      <xdr:rowOff>83921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ACFB9ED-EB87-4EE2-9820-E44998CEB656}"/>
            </a:ext>
          </a:extLst>
        </xdr:cNvPr>
        <xdr:cNvSpPr/>
      </xdr:nvSpPr>
      <xdr:spPr>
        <a:xfrm>
          <a:off x="621984" y="2147241"/>
          <a:ext cx="763260" cy="2226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260034</xdr:colOff>
      <xdr:row>12</xdr:row>
      <xdr:rowOff>58242</xdr:rowOff>
    </xdr:from>
    <xdr:to>
      <xdr:col>1</xdr:col>
      <xdr:colOff>1023294</xdr:colOff>
      <xdr:row>13</xdr:row>
      <xdr:rowOff>90422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C23F3-051F-42F1-8C15-8BB8675D1FB9}"/>
            </a:ext>
          </a:extLst>
        </xdr:cNvPr>
        <xdr:cNvSpPr/>
      </xdr:nvSpPr>
      <xdr:spPr>
        <a:xfrm>
          <a:off x="621984" y="2344242"/>
          <a:ext cx="763260" cy="2226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260034</xdr:colOff>
      <xdr:row>13</xdr:row>
      <xdr:rowOff>64743</xdr:rowOff>
    </xdr:from>
    <xdr:to>
      <xdr:col>1</xdr:col>
      <xdr:colOff>1023294</xdr:colOff>
      <xdr:row>14</xdr:row>
      <xdr:rowOff>96922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73BEDF1-FA10-449B-B806-D4DC92E5DBA7}"/>
            </a:ext>
          </a:extLst>
        </xdr:cNvPr>
        <xdr:cNvSpPr/>
      </xdr:nvSpPr>
      <xdr:spPr>
        <a:xfrm>
          <a:off x="621984" y="2541243"/>
          <a:ext cx="763260" cy="22267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260034</xdr:colOff>
      <xdr:row>14</xdr:row>
      <xdr:rowOff>71243</xdr:rowOff>
    </xdr:from>
    <xdr:to>
      <xdr:col>1</xdr:col>
      <xdr:colOff>1023294</xdr:colOff>
      <xdr:row>15</xdr:row>
      <xdr:rowOff>103423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496C063-3195-4A34-AEA0-F5EAAD27372E}"/>
            </a:ext>
          </a:extLst>
        </xdr:cNvPr>
        <xdr:cNvSpPr/>
      </xdr:nvSpPr>
      <xdr:spPr>
        <a:xfrm>
          <a:off x="621984" y="2738243"/>
          <a:ext cx="763260" cy="2226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260034</xdr:colOff>
      <xdr:row>15</xdr:row>
      <xdr:rowOff>77744</xdr:rowOff>
    </xdr:from>
    <xdr:to>
      <xdr:col>1</xdr:col>
      <xdr:colOff>1023294</xdr:colOff>
      <xdr:row>16</xdr:row>
      <xdr:rowOff>109924</xdr:rowOff>
    </xdr:to>
    <xdr:sp macro="" textlink="">
      <xdr:nvSpPr>
        <xdr:cNvPr id="12" name="Rectangle 1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2072F34-08A8-4EEA-AAF2-87376470B455}"/>
            </a:ext>
          </a:extLst>
        </xdr:cNvPr>
        <xdr:cNvSpPr/>
      </xdr:nvSpPr>
      <xdr:spPr>
        <a:xfrm>
          <a:off x="621984" y="2935244"/>
          <a:ext cx="763260" cy="2226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Pivots</a:t>
          </a:r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5</xdr:col>
      <xdr:colOff>6435</xdr:colOff>
      <xdr:row>4</xdr:row>
      <xdr:rowOff>32180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784B7FA0-ABEF-42C7-9F74-2A4ECAD6367C}"/>
            </a:ext>
          </a:extLst>
        </xdr:cNvPr>
        <xdr:cNvSpPr/>
      </xdr:nvSpPr>
      <xdr:spPr>
        <a:xfrm>
          <a:off x="2209800" y="571500"/>
          <a:ext cx="1225635" cy="2226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 editAs="oneCell">
    <xdr:from>
      <xdr:col>0</xdr:col>
      <xdr:colOff>334664</xdr:colOff>
      <xdr:row>8</xdr:row>
      <xdr:rowOff>70796</xdr:rowOff>
    </xdr:from>
    <xdr:to>
      <xdr:col>1</xdr:col>
      <xdr:colOff>334259</xdr:colOff>
      <xdr:row>9</xdr:row>
      <xdr:rowOff>39431</xdr:rowOff>
    </xdr:to>
    <xdr:pic>
      <xdr:nvPicPr>
        <xdr:cNvPr id="14" name="Graphic 13" descr="Call center with solid fill">
          <a:extLst>
            <a:ext uri="{FF2B5EF4-FFF2-40B4-BE49-F238E27FC236}">
              <a16:creationId xmlns:a16="http://schemas.microsoft.com/office/drawing/2014/main" id="{50672DB2-0B2F-47A0-B5B9-EF837CD7F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334664" y="1594796"/>
          <a:ext cx="361545" cy="159135"/>
        </a:xfrm>
        <a:prstGeom prst="rect">
          <a:avLst/>
        </a:prstGeom>
      </xdr:spPr>
    </xdr:pic>
    <xdr:clientData/>
  </xdr:twoCellAnchor>
  <xdr:twoCellAnchor editAs="oneCell">
    <xdr:from>
      <xdr:col>1</xdr:col>
      <xdr:colOff>46259</xdr:colOff>
      <xdr:row>7</xdr:row>
      <xdr:rowOff>19308</xdr:rowOff>
    </xdr:from>
    <xdr:to>
      <xdr:col>1</xdr:col>
      <xdr:colOff>262259</xdr:colOff>
      <xdr:row>8</xdr:row>
      <xdr:rowOff>42233</xdr:rowOff>
    </xdr:to>
    <xdr:pic>
      <xdr:nvPicPr>
        <xdr:cNvPr id="15" name="Graphic 14" descr="Bar graph with upward trend with solid fill">
          <a:extLst>
            <a:ext uri="{FF2B5EF4-FFF2-40B4-BE49-F238E27FC236}">
              <a16:creationId xmlns:a16="http://schemas.microsoft.com/office/drawing/2014/main" id="{44FB263A-29C7-4044-89DF-871C79CBE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408209" y="1352808"/>
          <a:ext cx="216000" cy="213425"/>
        </a:xfrm>
        <a:prstGeom prst="rect">
          <a:avLst/>
        </a:prstGeom>
      </xdr:spPr>
    </xdr:pic>
    <xdr:clientData/>
  </xdr:twoCellAnchor>
  <xdr:twoCellAnchor editAs="oneCell">
    <xdr:from>
      <xdr:col>1</xdr:col>
      <xdr:colOff>46259</xdr:colOff>
      <xdr:row>11</xdr:row>
      <xdr:rowOff>47026</xdr:rowOff>
    </xdr:from>
    <xdr:to>
      <xdr:col>1</xdr:col>
      <xdr:colOff>262259</xdr:colOff>
      <xdr:row>12</xdr:row>
      <xdr:rowOff>69952</xdr:rowOff>
    </xdr:to>
    <xdr:pic>
      <xdr:nvPicPr>
        <xdr:cNvPr id="16" name="Graphic 15" descr="Books on shelf with solid fill">
          <a:extLst>
            <a:ext uri="{FF2B5EF4-FFF2-40B4-BE49-F238E27FC236}">
              <a16:creationId xmlns:a16="http://schemas.microsoft.com/office/drawing/2014/main" id="{E09321D3-6740-4C9A-B613-A30CA9264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408209" y="2142526"/>
          <a:ext cx="216000" cy="213426"/>
        </a:xfrm>
        <a:prstGeom prst="rect">
          <a:avLst/>
        </a:prstGeom>
      </xdr:spPr>
    </xdr:pic>
    <xdr:clientData/>
  </xdr:twoCellAnchor>
  <xdr:twoCellAnchor editAs="oneCell">
    <xdr:from>
      <xdr:col>1</xdr:col>
      <xdr:colOff>43745</xdr:colOff>
      <xdr:row>9</xdr:row>
      <xdr:rowOff>42567</xdr:rowOff>
    </xdr:from>
    <xdr:to>
      <xdr:col>1</xdr:col>
      <xdr:colOff>223745</xdr:colOff>
      <xdr:row>10</xdr:row>
      <xdr:rowOff>29493</xdr:rowOff>
    </xdr:to>
    <xdr:pic>
      <xdr:nvPicPr>
        <xdr:cNvPr id="17" name="Graphic 16" descr="Building with solid fill">
          <a:extLst>
            <a:ext uri="{FF2B5EF4-FFF2-40B4-BE49-F238E27FC236}">
              <a16:creationId xmlns:a16="http://schemas.microsoft.com/office/drawing/2014/main" id="{5C04D2A8-8B7D-4336-A288-51EB95A2D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405695" y="1757067"/>
          <a:ext cx="180000" cy="177426"/>
        </a:xfrm>
        <a:prstGeom prst="rect">
          <a:avLst/>
        </a:prstGeom>
      </xdr:spPr>
    </xdr:pic>
    <xdr:clientData/>
  </xdr:twoCellAnchor>
  <xdr:twoCellAnchor editAs="oneCell">
    <xdr:from>
      <xdr:col>1</xdr:col>
      <xdr:colOff>46259</xdr:colOff>
      <xdr:row>15</xdr:row>
      <xdr:rowOff>102466</xdr:rowOff>
    </xdr:from>
    <xdr:to>
      <xdr:col>1</xdr:col>
      <xdr:colOff>262259</xdr:colOff>
      <xdr:row>16</xdr:row>
      <xdr:rowOff>125392</xdr:rowOff>
    </xdr:to>
    <xdr:pic>
      <xdr:nvPicPr>
        <xdr:cNvPr id="18" name="Graphic 17" descr="Camera with solid fill">
          <a:extLst>
            <a:ext uri="{FF2B5EF4-FFF2-40B4-BE49-F238E27FC236}">
              <a16:creationId xmlns:a16="http://schemas.microsoft.com/office/drawing/2014/main" id="{2E912D8C-03FF-4ABF-BC32-6294F595F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408209" y="2959966"/>
          <a:ext cx="216000" cy="213426"/>
        </a:xfrm>
        <a:prstGeom prst="rect">
          <a:avLst/>
        </a:prstGeom>
      </xdr:spPr>
    </xdr:pic>
    <xdr:clientData/>
  </xdr:twoCellAnchor>
  <xdr:twoCellAnchor editAs="oneCell">
    <xdr:from>
      <xdr:col>1</xdr:col>
      <xdr:colOff>46259</xdr:colOff>
      <xdr:row>12</xdr:row>
      <xdr:rowOff>85135</xdr:rowOff>
    </xdr:from>
    <xdr:to>
      <xdr:col>1</xdr:col>
      <xdr:colOff>262259</xdr:colOff>
      <xdr:row>13</xdr:row>
      <xdr:rowOff>108061</xdr:rowOff>
    </xdr:to>
    <xdr:pic>
      <xdr:nvPicPr>
        <xdr:cNvPr id="19" name="Graphic 18" descr="Cheers with solid fill">
          <a:extLst>
            <a:ext uri="{FF2B5EF4-FFF2-40B4-BE49-F238E27FC236}">
              <a16:creationId xmlns:a16="http://schemas.microsoft.com/office/drawing/2014/main" id="{300B5B5D-7047-4407-A267-1D1F9377E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408209" y="2371135"/>
          <a:ext cx="216000" cy="213426"/>
        </a:xfrm>
        <a:prstGeom prst="rect">
          <a:avLst/>
        </a:prstGeom>
      </xdr:spPr>
    </xdr:pic>
    <xdr:clientData/>
  </xdr:twoCellAnchor>
  <xdr:twoCellAnchor editAs="oneCell">
    <xdr:from>
      <xdr:col>1</xdr:col>
      <xdr:colOff>28259</xdr:colOff>
      <xdr:row>13</xdr:row>
      <xdr:rowOff>48498</xdr:rowOff>
    </xdr:from>
    <xdr:to>
      <xdr:col>1</xdr:col>
      <xdr:colOff>280259</xdr:colOff>
      <xdr:row>14</xdr:row>
      <xdr:rowOff>107423</xdr:rowOff>
    </xdr:to>
    <xdr:pic>
      <xdr:nvPicPr>
        <xdr:cNvPr id="20" name="Graphic 19" descr="City with solid fill">
          <a:extLst>
            <a:ext uri="{FF2B5EF4-FFF2-40B4-BE49-F238E27FC236}">
              <a16:creationId xmlns:a16="http://schemas.microsoft.com/office/drawing/2014/main" id="{011D6D9C-8D51-440E-85E4-1F1CB17AB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96DAC541-7B7A-43D3-8B79-37D633B846F1}">
              <asvg:svgBlip xmlns:asvg="http://schemas.microsoft.com/office/drawing/2016/SVG/main" r:embed="rId25"/>
            </a:ext>
          </a:extLst>
        </a:blip>
        <a:stretch>
          <a:fillRect/>
        </a:stretch>
      </xdr:blipFill>
      <xdr:spPr>
        <a:xfrm>
          <a:off x="390209" y="2524998"/>
          <a:ext cx="252000" cy="249425"/>
        </a:xfrm>
        <a:prstGeom prst="rect">
          <a:avLst/>
        </a:prstGeom>
      </xdr:spPr>
    </xdr:pic>
    <xdr:clientData/>
  </xdr:twoCellAnchor>
  <xdr:twoCellAnchor editAs="oneCell">
    <xdr:from>
      <xdr:col>1</xdr:col>
      <xdr:colOff>64360</xdr:colOff>
      <xdr:row>10</xdr:row>
      <xdr:rowOff>44038</xdr:rowOff>
    </xdr:from>
    <xdr:to>
      <xdr:col>1</xdr:col>
      <xdr:colOff>280360</xdr:colOff>
      <xdr:row>11</xdr:row>
      <xdr:rowOff>66963</xdr:rowOff>
    </xdr:to>
    <xdr:pic>
      <xdr:nvPicPr>
        <xdr:cNvPr id="21" name="Graphic 20" descr="Cloud Computing with solid fill">
          <a:extLst>
            <a:ext uri="{FF2B5EF4-FFF2-40B4-BE49-F238E27FC236}">
              <a16:creationId xmlns:a16="http://schemas.microsoft.com/office/drawing/2014/main" id="{00C87C5D-B726-4DD1-9CDF-ECE6045B6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96DAC541-7B7A-43D3-8B79-37D633B846F1}">
              <asvg:svgBlip xmlns:asvg="http://schemas.microsoft.com/office/drawing/2016/SVG/main" r:embed="rId27"/>
            </a:ext>
          </a:extLst>
        </a:blip>
        <a:stretch>
          <a:fillRect/>
        </a:stretch>
      </xdr:blipFill>
      <xdr:spPr>
        <a:xfrm>
          <a:off x="426310" y="1949038"/>
          <a:ext cx="216000" cy="213425"/>
        </a:xfrm>
        <a:prstGeom prst="rect">
          <a:avLst/>
        </a:prstGeom>
      </xdr:spPr>
    </xdr:pic>
    <xdr:clientData/>
  </xdr:twoCellAnchor>
  <xdr:twoCellAnchor editAs="oneCell">
    <xdr:from>
      <xdr:col>1</xdr:col>
      <xdr:colOff>46259</xdr:colOff>
      <xdr:row>14</xdr:row>
      <xdr:rowOff>91064</xdr:rowOff>
    </xdr:from>
    <xdr:to>
      <xdr:col>1</xdr:col>
      <xdr:colOff>262259</xdr:colOff>
      <xdr:row>15</xdr:row>
      <xdr:rowOff>113990</xdr:rowOff>
    </xdr:to>
    <xdr:pic>
      <xdr:nvPicPr>
        <xdr:cNvPr id="22" name="Graphic 21" descr="Globe with solid fill">
          <a:extLst>
            <a:ext uri="{FF2B5EF4-FFF2-40B4-BE49-F238E27FC236}">
              <a16:creationId xmlns:a16="http://schemas.microsoft.com/office/drawing/2014/main" id="{FFF48A59-6E64-4019-BB1B-3642905C5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96DAC541-7B7A-43D3-8B79-37D633B846F1}">
              <asvg:svgBlip xmlns:asvg="http://schemas.microsoft.com/office/drawing/2016/SVG/main" r:embed="rId29"/>
            </a:ext>
          </a:extLst>
        </a:blip>
        <a:stretch>
          <a:fillRect/>
        </a:stretch>
      </xdr:blipFill>
      <xdr:spPr>
        <a:xfrm>
          <a:off x="408209" y="2758064"/>
          <a:ext cx="216000" cy="213426"/>
        </a:xfrm>
        <a:prstGeom prst="rect">
          <a:avLst/>
        </a:prstGeom>
      </xdr:spPr>
    </xdr:pic>
    <xdr:clientData/>
  </xdr:twoCellAnchor>
  <xdr:twoCellAnchor editAs="absolute">
    <xdr:from>
      <xdr:col>2</xdr:col>
      <xdr:colOff>182911</xdr:colOff>
      <xdr:row>0</xdr:row>
      <xdr:rowOff>182961</xdr:rowOff>
    </xdr:from>
    <xdr:to>
      <xdr:col>20</xdr:col>
      <xdr:colOff>337018</xdr:colOff>
      <xdr:row>4</xdr:row>
      <xdr:rowOff>124579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1C148648-1ED0-49D5-AA58-CED4AD8AF133}"/>
            </a:ext>
          </a:extLst>
        </xdr:cNvPr>
        <xdr:cNvSpPr/>
      </xdr:nvSpPr>
      <xdr:spPr>
        <a:xfrm>
          <a:off x="1790255" y="182961"/>
          <a:ext cx="11830736" cy="690011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l"/>
          <a:r>
            <a:rPr lang="en-US" sz="2800">
              <a:solidFill>
                <a:schemeClr val="tx1"/>
              </a:solidFill>
            </a:rPr>
            <a:t> CUSTOMER </a:t>
          </a:r>
          <a:endParaRPr lang="en-IN" sz="28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257434</xdr:colOff>
      <xdr:row>1</xdr:row>
      <xdr:rowOff>102973</xdr:rowOff>
    </xdr:from>
    <xdr:to>
      <xdr:col>1</xdr:col>
      <xdr:colOff>901015</xdr:colOff>
      <xdr:row>4</xdr:row>
      <xdr:rowOff>167331</xdr:rowOff>
    </xdr:to>
    <xdr:pic>
      <xdr:nvPicPr>
        <xdr:cNvPr id="2" name="Graphic 1" descr="Books with solid fill">
          <a:extLst>
            <a:ext uri="{FF2B5EF4-FFF2-40B4-BE49-F238E27FC236}">
              <a16:creationId xmlns:a16="http://schemas.microsoft.com/office/drawing/2014/main" id="{564708B0-7168-489D-8209-BEC217DDA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19384" y="293473"/>
          <a:ext cx="643581" cy="635858"/>
        </a:xfrm>
        <a:prstGeom prst="rect">
          <a:avLst/>
        </a:prstGeom>
      </xdr:spPr>
    </xdr:pic>
    <xdr:clientData/>
  </xdr:twoCellAnchor>
  <xdr:twoCellAnchor>
    <xdr:from>
      <xdr:col>0</xdr:col>
      <xdr:colOff>334662</xdr:colOff>
      <xdr:row>4</xdr:row>
      <xdr:rowOff>154460</xdr:rowOff>
    </xdr:from>
    <xdr:to>
      <xdr:col>1</xdr:col>
      <xdr:colOff>1203496</xdr:colOff>
      <xdr:row>7</xdr:row>
      <xdr:rowOff>12873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DEBB139-ED93-45BA-BBA3-99ABB486922B}"/>
            </a:ext>
          </a:extLst>
        </xdr:cNvPr>
        <xdr:cNvSpPr/>
      </xdr:nvSpPr>
      <xdr:spPr>
        <a:xfrm>
          <a:off x="334662" y="916460"/>
          <a:ext cx="1230784" cy="4299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900" b="1">
              <a:solidFill>
                <a:schemeClr val="tx1"/>
              </a:solidFill>
            </a:rPr>
            <a:t>Inventory </a:t>
          </a:r>
          <a:r>
            <a:rPr lang="en-US" sz="900" b="1">
              <a:solidFill>
                <a:schemeClr val="tx1"/>
              </a:solidFill>
            </a:rPr>
            <a:t>Management System </a:t>
          </a:r>
          <a:endParaRPr lang="en-IN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260034</xdr:colOff>
      <xdr:row>7</xdr:row>
      <xdr:rowOff>57922</xdr:rowOff>
    </xdr:from>
    <xdr:to>
      <xdr:col>1</xdr:col>
      <xdr:colOff>1023294</xdr:colOff>
      <xdr:row>8</xdr:row>
      <xdr:rowOff>90101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2A8793-9DC8-4249-865B-7EF245510F3E}"/>
            </a:ext>
          </a:extLst>
        </xdr:cNvPr>
        <xdr:cNvSpPr/>
      </xdr:nvSpPr>
      <xdr:spPr>
        <a:xfrm>
          <a:off x="621984" y="1391422"/>
          <a:ext cx="763260" cy="22267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Dashboard </a:t>
          </a:r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239425</xdr:colOff>
      <xdr:row>8</xdr:row>
      <xdr:rowOff>32242</xdr:rowOff>
    </xdr:from>
    <xdr:to>
      <xdr:col>1</xdr:col>
      <xdr:colOff>1023294</xdr:colOff>
      <xdr:row>9</xdr:row>
      <xdr:rowOff>64422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DE8928D-2DE1-437E-B1B2-446EE0B510A5}"/>
            </a:ext>
          </a:extLst>
        </xdr:cNvPr>
        <xdr:cNvSpPr/>
      </xdr:nvSpPr>
      <xdr:spPr>
        <a:xfrm>
          <a:off x="601375" y="1556242"/>
          <a:ext cx="783869" cy="2226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Customers </a:t>
          </a:r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260034</xdr:colOff>
      <xdr:row>9</xdr:row>
      <xdr:rowOff>38742</xdr:rowOff>
    </xdr:from>
    <xdr:to>
      <xdr:col>1</xdr:col>
      <xdr:colOff>1023294</xdr:colOff>
      <xdr:row>10</xdr:row>
      <xdr:rowOff>70922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CB2997E-B825-40AC-9E5C-282528C8638E}"/>
            </a:ext>
          </a:extLst>
        </xdr:cNvPr>
        <xdr:cNvSpPr/>
      </xdr:nvSpPr>
      <xdr:spPr>
        <a:xfrm>
          <a:off x="621984" y="1753242"/>
          <a:ext cx="763260" cy="2226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/>
              </a:solidFill>
            </a:rPr>
            <a:t>Product</a:t>
          </a:r>
        </a:p>
      </xdr:txBody>
    </xdr:sp>
    <xdr:clientData/>
  </xdr:twoCellAnchor>
  <xdr:twoCellAnchor>
    <xdr:from>
      <xdr:col>1</xdr:col>
      <xdr:colOff>260034</xdr:colOff>
      <xdr:row>10</xdr:row>
      <xdr:rowOff>45242</xdr:rowOff>
    </xdr:from>
    <xdr:to>
      <xdr:col>1</xdr:col>
      <xdr:colOff>1023294</xdr:colOff>
      <xdr:row>11</xdr:row>
      <xdr:rowOff>77421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7AB1DDC-857B-4B43-9E0B-830EBDF99A5E}"/>
            </a:ext>
          </a:extLst>
        </xdr:cNvPr>
        <xdr:cNvSpPr/>
      </xdr:nvSpPr>
      <xdr:spPr>
        <a:xfrm>
          <a:off x="621984" y="1950242"/>
          <a:ext cx="763260" cy="22267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260034</xdr:colOff>
      <xdr:row>11</xdr:row>
      <xdr:rowOff>51741</xdr:rowOff>
    </xdr:from>
    <xdr:to>
      <xdr:col>1</xdr:col>
      <xdr:colOff>1023294</xdr:colOff>
      <xdr:row>12</xdr:row>
      <xdr:rowOff>83921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411308C-6203-471D-B650-D143BAC65B4D}"/>
            </a:ext>
          </a:extLst>
        </xdr:cNvPr>
        <xdr:cNvSpPr/>
      </xdr:nvSpPr>
      <xdr:spPr>
        <a:xfrm>
          <a:off x="621984" y="2147241"/>
          <a:ext cx="763260" cy="2226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260034</xdr:colOff>
      <xdr:row>12</xdr:row>
      <xdr:rowOff>58242</xdr:rowOff>
    </xdr:from>
    <xdr:to>
      <xdr:col>1</xdr:col>
      <xdr:colOff>1023294</xdr:colOff>
      <xdr:row>13</xdr:row>
      <xdr:rowOff>90422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1669D86-6D8A-4CBB-8301-49EFFFCB0128}"/>
            </a:ext>
          </a:extLst>
        </xdr:cNvPr>
        <xdr:cNvSpPr/>
      </xdr:nvSpPr>
      <xdr:spPr>
        <a:xfrm>
          <a:off x="621984" y="2344242"/>
          <a:ext cx="763260" cy="2226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260034</xdr:colOff>
      <xdr:row>13</xdr:row>
      <xdr:rowOff>64743</xdr:rowOff>
    </xdr:from>
    <xdr:to>
      <xdr:col>1</xdr:col>
      <xdr:colOff>1023294</xdr:colOff>
      <xdr:row>14</xdr:row>
      <xdr:rowOff>96922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AAB3413-6976-4269-AF31-6FC18B041575}"/>
            </a:ext>
          </a:extLst>
        </xdr:cNvPr>
        <xdr:cNvSpPr/>
      </xdr:nvSpPr>
      <xdr:spPr>
        <a:xfrm>
          <a:off x="621984" y="2541243"/>
          <a:ext cx="763260" cy="22267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260034</xdr:colOff>
      <xdr:row>14</xdr:row>
      <xdr:rowOff>71243</xdr:rowOff>
    </xdr:from>
    <xdr:to>
      <xdr:col>1</xdr:col>
      <xdr:colOff>1023294</xdr:colOff>
      <xdr:row>15</xdr:row>
      <xdr:rowOff>103423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85D80DD-9770-47AE-9433-4754BBE519E8}"/>
            </a:ext>
          </a:extLst>
        </xdr:cNvPr>
        <xdr:cNvSpPr/>
      </xdr:nvSpPr>
      <xdr:spPr>
        <a:xfrm>
          <a:off x="621984" y="2738243"/>
          <a:ext cx="763260" cy="2226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260034</xdr:colOff>
      <xdr:row>15</xdr:row>
      <xdr:rowOff>77744</xdr:rowOff>
    </xdr:from>
    <xdr:to>
      <xdr:col>1</xdr:col>
      <xdr:colOff>1023294</xdr:colOff>
      <xdr:row>16</xdr:row>
      <xdr:rowOff>109924</xdr:rowOff>
    </xdr:to>
    <xdr:sp macro="" textlink="">
      <xdr:nvSpPr>
        <xdr:cNvPr id="12" name="Rectangle 1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DE8AE57-C796-453C-9AA4-39F1C222A424}"/>
            </a:ext>
          </a:extLst>
        </xdr:cNvPr>
        <xdr:cNvSpPr/>
      </xdr:nvSpPr>
      <xdr:spPr>
        <a:xfrm>
          <a:off x="621984" y="2935244"/>
          <a:ext cx="763260" cy="2226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Pivots</a:t>
          </a:r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5</xdr:col>
      <xdr:colOff>6435</xdr:colOff>
      <xdr:row>4</xdr:row>
      <xdr:rowOff>32180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EAAF9052-C56B-4BE5-84D0-F2422A3FC1FD}"/>
            </a:ext>
          </a:extLst>
        </xdr:cNvPr>
        <xdr:cNvSpPr/>
      </xdr:nvSpPr>
      <xdr:spPr>
        <a:xfrm>
          <a:off x="2209800" y="571500"/>
          <a:ext cx="1225635" cy="2226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 editAs="oneCell">
    <xdr:from>
      <xdr:col>0</xdr:col>
      <xdr:colOff>334664</xdr:colOff>
      <xdr:row>8</xdr:row>
      <xdr:rowOff>70796</xdr:rowOff>
    </xdr:from>
    <xdr:to>
      <xdr:col>1</xdr:col>
      <xdr:colOff>334259</xdr:colOff>
      <xdr:row>9</xdr:row>
      <xdr:rowOff>39431</xdr:rowOff>
    </xdr:to>
    <xdr:pic>
      <xdr:nvPicPr>
        <xdr:cNvPr id="14" name="Graphic 13" descr="Call center with solid fill">
          <a:extLst>
            <a:ext uri="{FF2B5EF4-FFF2-40B4-BE49-F238E27FC236}">
              <a16:creationId xmlns:a16="http://schemas.microsoft.com/office/drawing/2014/main" id="{6CB25FFD-04C8-402F-A57E-81D80BFA6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334664" y="1594796"/>
          <a:ext cx="361545" cy="159135"/>
        </a:xfrm>
        <a:prstGeom prst="rect">
          <a:avLst/>
        </a:prstGeom>
      </xdr:spPr>
    </xdr:pic>
    <xdr:clientData/>
  </xdr:twoCellAnchor>
  <xdr:twoCellAnchor editAs="oneCell">
    <xdr:from>
      <xdr:col>1</xdr:col>
      <xdr:colOff>46259</xdr:colOff>
      <xdr:row>7</xdr:row>
      <xdr:rowOff>19308</xdr:rowOff>
    </xdr:from>
    <xdr:to>
      <xdr:col>1</xdr:col>
      <xdr:colOff>262259</xdr:colOff>
      <xdr:row>8</xdr:row>
      <xdr:rowOff>42233</xdr:rowOff>
    </xdr:to>
    <xdr:pic>
      <xdr:nvPicPr>
        <xdr:cNvPr id="15" name="Graphic 14" descr="Bar graph with upward trend with solid fill">
          <a:extLst>
            <a:ext uri="{FF2B5EF4-FFF2-40B4-BE49-F238E27FC236}">
              <a16:creationId xmlns:a16="http://schemas.microsoft.com/office/drawing/2014/main" id="{E1B29EEF-3168-449F-8BE7-560A548D9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408209" y="1352808"/>
          <a:ext cx="216000" cy="213425"/>
        </a:xfrm>
        <a:prstGeom prst="rect">
          <a:avLst/>
        </a:prstGeom>
      </xdr:spPr>
    </xdr:pic>
    <xdr:clientData/>
  </xdr:twoCellAnchor>
  <xdr:twoCellAnchor editAs="oneCell">
    <xdr:from>
      <xdr:col>1</xdr:col>
      <xdr:colOff>46259</xdr:colOff>
      <xdr:row>11</xdr:row>
      <xdr:rowOff>47026</xdr:rowOff>
    </xdr:from>
    <xdr:to>
      <xdr:col>1</xdr:col>
      <xdr:colOff>262259</xdr:colOff>
      <xdr:row>12</xdr:row>
      <xdr:rowOff>69952</xdr:rowOff>
    </xdr:to>
    <xdr:pic>
      <xdr:nvPicPr>
        <xdr:cNvPr id="16" name="Graphic 15" descr="Books on shelf with solid fill">
          <a:extLst>
            <a:ext uri="{FF2B5EF4-FFF2-40B4-BE49-F238E27FC236}">
              <a16:creationId xmlns:a16="http://schemas.microsoft.com/office/drawing/2014/main" id="{91207741-00DC-4BD6-AEFF-61E369952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408209" y="2142526"/>
          <a:ext cx="216000" cy="213426"/>
        </a:xfrm>
        <a:prstGeom prst="rect">
          <a:avLst/>
        </a:prstGeom>
      </xdr:spPr>
    </xdr:pic>
    <xdr:clientData/>
  </xdr:twoCellAnchor>
  <xdr:twoCellAnchor editAs="oneCell">
    <xdr:from>
      <xdr:col>1</xdr:col>
      <xdr:colOff>43745</xdr:colOff>
      <xdr:row>9</xdr:row>
      <xdr:rowOff>42567</xdr:rowOff>
    </xdr:from>
    <xdr:to>
      <xdr:col>1</xdr:col>
      <xdr:colOff>223745</xdr:colOff>
      <xdr:row>10</xdr:row>
      <xdr:rowOff>29493</xdr:rowOff>
    </xdr:to>
    <xdr:pic>
      <xdr:nvPicPr>
        <xdr:cNvPr id="17" name="Graphic 16" descr="Building with solid fill">
          <a:extLst>
            <a:ext uri="{FF2B5EF4-FFF2-40B4-BE49-F238E27FC236}">
              <a16:creationId xmlns:a16="http://schemas.microsoft.com/office/drawing/2014/main" id="{7D1EDB9B-01E6-4D5F-8863-BD4DC0311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405695" y="1757067"/>
          <a:ext cx="180000" cy="177426"/>
        </a:xfrm>
        <a:prstGeom prst="rect">
          <a:avLst/>
        </a:prstGeom>
      </xdr:spPr>
    </xdr:pic>
    <xdr:clientData/>
  </xdr:twoCellAnchor>
  <xdr:twoCellAnchor editAs="oneCell">
    <xdr:from>
      <xdr:col>1</xdr:col>
      <xdr:colOff>46259</xdr:colOff>
      <xdr:row>15</xdr:row>
      <xdr:rowOff>102466</xdr:rowOff>
    </xdr:from>
    <xdr:to>
      <xdr:col>1</xdr:col>
      <xdr:colOff>262259</xdr:colOff>
      <xdr:row>16</xdr:row>
      <xdr:rowOff>125392</xdr:rowOff>
    </xdr:to>
    <xdr:pic>
      <xdr:nvPicPr>
        <xdr:cNvPr id="18" name="Graphic 17" descr="Camera with solid fill">
          <a:extLst>
            <a:ext uri="{FF2B5EF4-FFF2-40B4-BE49-F238E27FC236}">
              <a16:creationId xmlns:a16="http://schemas.microsoft.com/office/drawing/2014/main" id="{DF602001-A194-4BC5-9253-475DB1955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408209" y="2959966"/>
          <a:ext cx="216000" cy="213426"/>
        </a:xfrm>
        <a:prstGeom prst="rect">
          <a:avLst/>
        </a:prstGeom>
      </xdr:spPr>
    </xdr:pic>
    <xdr:clientData/>
  </xdr:twoCellAnchor>
  <xdr:twoCellAnchor editAs="oneCell">
    <xdr:from>
      <xdr:col>1</xdr:col>
      <xdr:colOff>46259</xdr:colOff>
      <xdr:row>12</xdr:row>
      <xdr:rowOff>85135</xdr:rowOff>
    </xdr:from>
    <xdr:to>
      <xdr:col>1</xdr:col>
      <xdr:colOff>262259</xdr:colOff>
      <xdr:row>13</xdr:row>
      <xdr:rowOff>108061</xdr:rowOff>
    </xdr:to>
    <xdr:pic>
      <xdr:nvPicPr>
        <xdr:cNvPr id="19" name="Graphic 18" descr="Cheers with solid fill">
          <a:extLst>
            <a:ext uri="{FF2B5EF4-FFF2-40B4-BE49-F238E27FC236}">
              <a16:creationId xmlns:a16="http://schemas.microsoft.com/office/drawing/2014/main" id="{7DAF122F-14FF-4D81-9901-339CC8270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408209" y="2371135"/>
          <a:ext cx="216000" cy="213426"/>
        </a:xfrm>
        <a:prstGeom prst="rect">
          <a:avLst/>
        </a:prstGeom>
      </xdr:spPr>
    </xdr:pic>
    <xdr:clientData/>
  </xdr:twoCellAnchor>
  <xdr:twoCellAnchor editAs="oneCell">
    <xdr:from>
      <xdr:col>1</xdr:col>
      <xdr:colOff>28259</xdr:colOff>
      <xdr:row>13</xdr:row>
      <xdr:rowOff>48498</xdr:rowOff>
    </xdr:from>
    <xdr:to>
      <xdr:col>1</xdr:col>
      <xdr:colOff>280259</xdr:colOff>
      <xdr:row>14</xdr:row>
      <xdr:rowOff>107423</xdr:rowOff>
    </xdr:to>
    <xdr:pic>
      <xdr:nvPicPr>
        <xdr:cNvPr id="20" name="Graphic 19" descr="City with solid fill">
          <a:extLst>
            <a:ext uri="{FF2B5EF4-FFF2-40B4-BE49-F238E27FC236}">
              <a16:creationId xmlns:a16="http://schemas.microsoft.com/office/drawing/2014/main" id="{A682E258-C8AC-4155-B5AD-ACC6D221C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96DAC541-7B7A-43D3-8B79-37D633B846F1}">
              <asvg:svgBlip xmlns:asvg="http://schemas.microsoft.com/office/drawing/2016/SVG/main" r:embed="rId25"/>
            </a:ext>
          </a:extLst>
        </a:blip>
        <a:stretch>
          <a:fillRect/>
        </a:stretch>
      </xdr:blipFill>
      <xdr:spPr>
        <a:xfrm>
          <a:off x="390209" y="2524998"/>
          <a:ext cx="252000" cy="249425"/>
        </a:xfrm>
        <a:prstGeom prst="rect">
          <a:avLst/>
        </a:prstGeom>
      </xdr:spPr>
    </xdr:pic>
    <xdr:clientData/>
  </xdr:twoCellAnchor>
  <xdr:twoCellAnchor editAs="oneCell">
    <xdr:from>
      <xdr:col>1</xdr:col>
      <xdr:colOff>64360</xdr:colOff>
      <xdr:row>10</xdr:row>
      <xdr:rowOff>44038</xdr:rowOff>
    </xdr:from>
    <xdr:to>
      <xdr:col>1</xdr:col>
      <xdr:colOff>280360</xdr:colOff>
      <xdr:row>11</xdr:row>
      <xdr:rowOff>66963</xdr:rowOff>
    </xdr:to>
    <xdr:pic>
      <xdr:nvPicPr>
        <xdr:cNvPr id="21" name="Graphic 20" descr="Cloud Computing with solid fill">
          <a:extLst>
            <a:ext uri="{FF2B5EF4-FFF2-40B4-BE49-F238E27FC236}">
              <a16:creationId xmlns:a16="http://schemas.microsoft.com/office/drawing/2014/main" id="{FC545A03-7595-4769-93DD-9A84B7912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96DAC541-7B7A-43D3-8B79-37D633B846F1}">
              <asvg:svgBlip xmlns:asvg="http://schemas.microsoft.com/office/drawing/2016/SVG/main" r:embed="rId27"/>
            </a:ext>
          </a:extLst>
        </a:blip>
        <a:stretch>
          <a:fillRect/>
        </a:stretch>
      </xdr:blipFill>
      <xdr:spPr>
        <a:xfrm>
          <a:off x="426310" y="1949038"/>
          <a:ext cx="216000" cy="213425"/>
        </a:xfrm>
        <a:prstGeom prst="rect">
          <a:avLst/>
        </a:prstGeom>
      </xdr:spPr>
    </xdr:pic>
    <xdr:clientData/>
  </xdr:twoCellAnchor>
  <xdr:twoCellAnchor editAs="oneCell">
    <xdr:from>
      <xdr:col>1</xdr:col>
      <xdr:colOff>46259</xdr:colOff>
      <xdr:row>14</xdr:row>
      <xdr:rowOff>91064</xdr:rowOff>
    </xdr:from>
    <xdr:to>
      <xdr:col>1</xdr:col>
      <xdr:colOff>262259</xdr:colOff>
      <xdr:row>15</xdr:row>
      <xdr:rowOff>113990</xdr:rowOff>
    </xdr:to>
    <xdr:pic>
      <xdr:nvPicPr>
        <xdr:cNvPr id="22" name="Graphic 21" descr="Globe with solid fill">
          <a:extLst>
            <a:ext uri="{FF2B5EF4-FFF2-40B4-BE49-F238E27FC236}">
              <a16:creationId xmlns:a16="http://schemas.microsoft.com/office/drawing/2014/main" id="{FDA7A419-7B02-4F0F-AB16-54363E6D5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96DAC541-7B7A-43D3-8B79-37D633B846F1}">
              <asvg:svgBlip xmlns:asvg="http://schemas.microsoft.com/office/drawing/2016/SVG/main" r:embed="rId29"/>
            </a:ext>
          </a:extLst>
        </a:blip>
        <a:stretch>
          <a:fillRect/>
        </a:stretch>
      </xdr:blipFill>
      <xdr:spPr>
        <a:xfrm>
          <a:off x="408209" y="2758064"/>
          <a:ext cx="216000" cy="213426"/>
        </a:xfrm>
        <a:prstGeom prst="rect">
          <a:avLst/>
        </a:prstGeom>
      </xdr:spPr>
    </xdr:pic>
    <xdr:clientData/>
  </xdr:twoCellAnchor>
  <xdr:twoCellAnchor editAs="absolute">
    <xdr:from>
      <xdr:col>2</xdr:col>
      <xdr:colOff>135153</xdr:colOff>
      <xdr:row>1</xdr:row>
      <xdr:rowOff>12872</xdr:rowOff>
    </xdr:from>
    <xdr:to>
      <xdr:col>20</xdr:col>
      <xdr:colOff>257730</xdr:colOff>
      <xdr:row>4</xdr:row>
      <xdr:rowOff>141588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E8019DBA-8DC5-47C7-9511-C219C7E92E55}"/>
            </a:ext>
          </a:extLst>
        </xdr:cNvPr>
        <xdr:cNvSpPr/>
      </xdr:nvSpPr>
      <xdr:spPr>
        <a:xfrm>
          <a:off x="1735353" y="203372"/>
          <a:ext cx="11410435" cy="700216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l"/>
          <a:r>
            <a:rPr lang="en-US" sz="2800">
              <a:solidFill>
                <a:schemeClr val="tx1"/>
              </a:solidFill>
            </a:rPr>
            <a:t> PRODUCT</a:t>
          </a:r>
          <a:endParaRPr lang="en-IN" sz="2800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257434</xdr:colOff>
      <xdr:row>1</xdr:row>
      <xdr:rowOff>102973</xdr:rowOff>
    </xdr:from>
    <xdr:to>
      <xdr:col>1</xdr:col>
      <xdr:colOff>901015</xdr:colOff>
      <xdr:row>4</xdr:row>
      <xdr:rowOff>167331</xdr:rowOff>
    </xdr:to>
    <xdr:pic>
      <xdr:nvPicPr>
        <xdr:cNvPr id="2" name="Graphic 1" descr="Books with solid fill">
          <a:extLst>
            <a:ext uri="{FF2B5EF4-FFF2-40B4-BE49-F238E27FC236}">
              <a16:creationId xmlns:a16="http://schemas.microsoft.com/office/drawing/2014/main" id="{80C3273B-0418-4540-8788-DFC12B2EA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19384" y="293473"/>
          <a:ext cx="643581" cy="635858"/>
        </a:xfrm>
        <a:prstGeom prst="rect">
          <a:avLst/>
        </a:prstGeom>
      </xdr:spPr>
    </xdr:pic>
    <xdr:clientData/>
  </xdr:twoCellAnchor>
  <xdr:twoCellAnchor>
    <xdr:from>
      <xdr:col>0</xdr:col>
      <xdr:colOff>334662</xdr:colOff>
      <xdr:row>4</xdr:row>
      <xdr:rowOff>154460</xdr:rowOff>
    </xdr:from>
    <xdr:to>
      <xdr:col>1</xdr:col>
      <xdr:colOff>1203496</xdr:colOff>
      <xdr:row>7</xdr:row>
      <xdr:rowOff>12873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029202A-759F-4105-8788-CDFC96189E7E}"/>
            </a:ext>
          </a:extLst>
        </xdr:cNvPr>
        <xdr:cNvSpPr/>
      </xdr:nvSpPr>
      <xdr:spPr>
        <a:xfrm>
          <a:off x="334662" y="916460"/>
          <a:ext cx="1230784" cy="4299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900" b="1">
              <a:solidFill>
                <a:schemeClr val="tx1"/>
              </a:solidFill>
            </a:rPr>
            <a:t>Inventory </a:t>
          </a:r>
          <a:r>
            <a:rPr lang="en-US" sz="900" b="1">
              <a:solidFill>
                <a:schemeClr val="tx1"/>
              </a:solidFill>
            </a:rPr>
            <a:t>Management System </a:t>
          </a:r>
          <a:endParaRPr lang="en-IN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260034</xdr:colOff>
      <xdr:row>7</xdr:row>
      <xdr:rowOff>57922</xdr:rowOff>
    </xdr:from>
    <xdr:to>
      <xdr:col>1</xdr:col>
      <xdr:colOff>1023294</xdr:colOff>
      <xdr:row>8</xdr:row>
      <xdr:rowOff>90101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151AD34-5C6F-4693-8ECB-6DFCF204A1AD}"/>
            </a:ext>
          </a:extLst>
        </xdr:cNvPr>
        <xdr:cNvSpPr/>
      </xdr:nvSpPr>
      <xdr:spPr>
        <a:xfrm>
          <a:off x="621984" y="1391422"/>
          <a:ext cx="763260" cy="22267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Dashboard </a:t>
          </a:r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239425</xdr:colOff>
      <xdr:row>8</xdr:row>
      <xdr:rowOff>32242</xdr:rowOff>
    </xdr:from>
    <xdr:to>
      <xdr:col>1</xdr:col>
      <xdr:colOff>1023294</xdr:colOff>
      <xdr:row>9</xdr:row>
      <xdr:rowOff>64422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23D1E75-F371-4719-8A51-D5FBCACFC179}"/>
            </a:ext>
          </a:extLst>
        </xdr:cNvPr>
        <xdr:cNvSpPr/>
      </xdr:nvSpPr>
      <xdr:spPr>
        <a:xfrm>
          <a:off x="601375" y="1556242"/>
          <a:ext cx="783869" cy="2226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Customers </a:t>
          </a:r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260034</xdr:colOff>
      <xdr:row>9</xdr:row>
      <xdr:rowOff>38742</xdr:rowOff>
    </xdr:from>
    <xdr:to>
      <xdr:col>1</xdr:col>
      <xdr:colOff>1023294</xdr:colOff>
      <xdr:row>10</xdr:row>
      <xdr:rowOff>70922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BC856F8-0856-4FAC-99A5-B691086B0EE2}"/>
            </a:ext>
          </a:extLst>
        </xdr:cNvPr>
        <xdr:cNvSpPr/>
      </xdr:nvSpPr>
      <xdr:spPr>
        <a:xfrm>
          <a:off x="621984" y="1753242"/>
          <a:ext cx="763260" cy="2226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Product</a:t>
          </a:r>
        </a:p>
      </xdr:txBody>
    </xdr:sp>
    <xdr:clientData/>
  </xdr:twoCellAnchor>
  <xdr:twoCellAnchor>
    <xdr:from>
      <xdr:col>1</xdr:col>
      <xdr:colOff>260034</xdr:colOff>
      <xdr:row>10</xdr:row>
      <xdr:rowOff>45242</xdr:rowOff>
    </xdr:from>
    <xdr:to>
      <xdr:col>1</xdr:col>
      <xdr:colOff>1023294</xdr:colOff>
      <xdr:row>11</xdr:row>
      <xdr:rowOff>77421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F920260-76EB-4A48-B24D-9DD817E1C738}"/>
            </a:ext>
          </a:extLst>
        </xdr:cNvPr>
        <xdr:cNvSpPr/>
      </xdr:nvSpPr>
      <xdr:spPr>
        <a:xfrm>
          <a:off x="621984" y="1950242"/>
          <a:ext cx="763260" cy="22267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/>
              </a:solidFill>
            </a:rPr>
            <a:t>Vendors</a:t>
          </a:r>
          <a:endParaRPr lang="en-IN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260034</xdr:colOff>
      <xdr:row>11</xdr:row>
      <xdr:rowOff>51741</xdr:rowOff>
    </xdr:from>
    <xdr:to>
      <xdr:col>1</xdr:col>
      <xdr:colOff>1023294</xdr:colOff>
      <xdr:row>12</xdr:row>
      <xdr:rowOff>83921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17D88E6-A2B7-46B8-BE80-0DBCA72A5160}"/>
            </a:ext>
          </a:extLst>
        </xdr:cNvPr>
        <xdr:cNvSpPr/>
      </xdr:nvSpPr>
      <xdr:spPr>
        <a:xfrm>
          <a:off x="621984" y="2147241"/>
          <a:ext cx="763260" cy="2226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260034</xdr:colOff>
      <xdr:row>12</xdr:row>
      <xdr:rowOff>58242</xdr:rowOff>
    </xdr:from>
    <xdr:to>
      <xdr:col>1</xdr:col>
      <xdr:colOff>1023294</xdr:colOff>
      <xdr:row>13</xdr:row>
      <xdr:rowOff>90422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4B71FDC-DA1F-46AF-9A72-6C56EAB4D447}"/>
            </a:ext>
          </a:extLst>
        </xdr:cNvPr>
        <xdr:cNvSpPr/>
      </xdr:nvSpPr>
      <xdr:spPr>
        <a:xfrm>
          <a:off x="621984" y="2344242"/>
          <a:ext cx="763260" cy="2226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260034</xdr:colOff>
      <xdr:row>13</xdr:row>
      <xdr:rowOff>64743</xdr:rowOff>
    </xdr:from>
    <xdr:to>
      <xdr:col>1</xdr:col>
      <xdr:colOff>1023294</xdr:colOff>
      <xdr:row>14</xdr:row>
      <xdr:rowOff>96922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FF94618-88C7-4823-A767-FA40BA93EA69}"/>
            </a:ext>
          </a:extLst>
        </xdr:cNvPr>
        <xdr:cNvSpPr/>
      </xdr:nvSpPr>
      <xdr:spPr>
        <a:xfrm>
          <a:off x="621984" y="2541243"/>
          <a:ext cx="763260" cy="22267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260034</xdr:colOff>
      <xdr:row>14</xdr:row>
      <xdr:rowOff>71243</xdr:rowOff>
    </xdr:from>
    <xdr:to>
      <xdr:col>1</xdr:col>
      <xdr:colOff>1023294</xdr:colOff>
      <xdr:row>15</xdr:row>
      <xdr:rowOff>103423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1DC427A-57AB-4F21-910A-1AEC80CF43AB}"/>
            </a:ext>
          </a:extLst>
        </xdr:cNvPr>
        <xdr:cNvSpPr/>
      </xdr:nvSpPr>
      <xdr:spPr>
        <a:xfrm>
          <a:off x="621984" y="2738243"/>
          <a:ext cx="763260" cy="2226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260034</xdr:colOff>
      <xdr:row>15</xdr:row>
      <xdr:rowOff>77744</xdr:rowOff>
    </xdr:from>
    <xdr:to>
      <xdr:col>1</xdr:col>
      <xdr:colOff>1023294</xdr:colOff>
      <xdr:row>16</xdr:row>
      <xdr:rowOff>109924</xdr:rowOff>
    </xdr:to>
    <xdr:sp macro="" textlink="">
      <xdr:nvSpPr>
        <xdr:cNvPr id="12" name="Rectangle 1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EAE2B84-AB5C-4DF0-A728-F06168883BAB}"/>
            </a:ext>
          </a:extLst>
        </xdr:cNvPr>
        <xdr:cNvSpPr/>
      </xdr:nvSpPr>
      <xdr:spPr>
        <a:xfrm>
          <a:off x="621984" y="2935244"/>
          <a:ext cx="763260" cy="2226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Pivots</a:t>
          </a:r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5</xdr:col>
      <xdr:colOff>6435</xdr:colOff>
      <xdr:row>4</xdr:row>
      <xdr:rowOff>32180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C6021923-9B69-4FCD-9395-95D3AB2E99FD}"/>
            </a:ext>
          </a:extLst>
        </xdr:cNvPr>
        <xdr:cNvSpPr/>
      </xdr:nvSpPr>
      <xdr:spPr>
        <a:xfrm>
          <a:off x="2209800" y="571500"/>
          <a:ext cx="1225635" cy="2226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 editAs="oneCell">
    <xdr:from>
      <xdr:col>0</xdr:col>
      <xdr:colOff>334664</xdr:colOff>
      <xdr:row>8</xdr:row>
      <xdr:rowOff>70796</xdr:rowOff>
    </xdr:from>
    <xdr:to>
      <xdr:col>1</xdr:col>
      <xdr:colOff>334259</xdr:colOff>
      <xdr:row>9</xdr:row>
      <xdr:rowOff>39431</xdr:rowOff>
    </xdr:to>
    <xdr:pic>
      <xdr:nvPicPr>
        <xdr:cNvPr id="14" name="Graphic 13" descr="Call center with solid fill">
          <a:extLst>
            <a:ext uri="{FF2B5EF4-FFF2-40B4-BE49-F238E27FC236}">
              <a16:creationId xmlns:a16="http://schemas.microsoft.com/office/drawing/2014/main" id="{8D1E51C8-6BE7-4BFA-A844-C0D19401E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334664" y="1594796"/>
          <a:ext cx="361545" cy="159135"/>
        </a:xfrm>
        <a:prstGeom prst="rect">
          <a:avLst/>
        </a:prstGeom>
      </xdr:spPr>
    </xdr:pic>
    <xdr:clientData/>
  </xdr:twoCellAnchor>
  <xdr:twoCellAnchor editAs="oneCell">
    <xdr:from>
      <xdr:col>1</xdr:col>
      <xdr:colOff>46259</xdr:colOff>
      <xdr:row>7</xdr:row>
      <xdr:rowOff>19308</xdr:rowOff>
    </xdr:from>
    <xdr:to>
      <xdr:col>1</xdr:col>
      <xdr:colOff>262259</xdr:colOff>
      <xdr:row>8</xdr:row>
      <xdr:rowOff>42233</xdr:rowOff>
    </xdr:to>
    <xdr:pic>
      <xdr:nvPicPr>
        <xdr:cNvPr id="15" name="Graphic 14" descr="Bar graph with upward trend with solid fill">
          <a:extLst>
            <a:ext uri="{FF2B5EF4-FFF2-40B4-BE49-F238E27FC236}">
              <a16:creationId xmlns:a16="http://schemas.microsoft.com/office/drawing/2014/main" id="{C1C67EEA-613D-4213-AC93-93EB03359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408209" y="1352808"/>
          <a:ext cx="216000" cy="213425"/>
        </a:xfrm>
        <a:prstGeom prst="rect">
          <a:avLst/>
        </a:prstGeom>
      </xdr:spPr>
    </xdr:pic>
    <xdr:clientData/>
  </xdr:twoCellAnchor>
  <xdr:twoCellAnchor editAs="oneCell">
    <xdr:from>
      <xdr:col>1</xdr:col>
      <xdr:colOff>46259</xdr:colOff>
      <xdr:row>11</xdr:row>
      <xdr:rowOff>47026</xdr:rowOff>
    </xdr:from>
    <xdr:to>
      <xdr:col>1</xdr:col>
      <xdr:colOff>262259</xdr:colOff>
      <xdr:row>12</xdr:row>
      <xdr:rowOff>69952</xdr:rowOff>
    </xdr:to>
    <xdr:pic>
      <xdr:nvPicPr>
        <xdr:cNvPr id="16" name="Graphic 15" descr="Books on shelf with solid fill">
          <a:extLst>
            <a:ext uri="{FF2B5EF4-FFF2-40B4-BE49-F238E27FC236}">
              <a16:creationId xmlns:a16="http://schemas.microsoft.com/office/drawing/2014/main" id="{B3B95BC5-76CA-4057-893C-4841D9C17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408209" y="2142526"/>
          <a:ext cx="216000" cy="213426"/>
        </a:xfrm>
        <a:prstGeom prst="rect">
          <a:avLst/>
        </a:prstGeom>
      </xdr:spPr>
    </xdr:pic>
    <xdr:clientData/>
  </xdr:twoCellAnchor>
  <xdr:twoCellAnchor editAs="oneCell">
    <xdr:from>
      <xdr:col>1</xdr:col>
      <xdr:colOff>43745</xdr:colOff>
      <xdr:row>9</xdr:row>
      <xdr:rowOff>42567</xdr:rowOff>
    </xdr:from>
    <xdr:to>
      <xdr:col>1</xdr:col>
      <xdr:colOff>223745</xdr:colOff>
      <xdr:row>10</xdr:row>
      <xdr:rowOff>29493</xdr:rowOff>
    </xdr:to>
    <xdr:pic>
      <xdr:nvPicPr>
        <xdr:cNvPr id="17" name="Graphic 16" descr="Building with solid fill">
          <a:extLst>
            <a:ext uri="{FF2B5EF4-FFF2-40B4-BE49-F238E27FC236}">
              <a16:creationId xmlns:a16="http://schemas.microsoft.com/office/drawing/2014/main" id="{18CFB4EB-6A37-486A-BCF1-0A1A3C0A0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405695" y="1757067"/>
          <a:ext cx="180000" cy="177426"/>
        </a:xfrm>
        <a:prstGeom prst="rect">
          <a:avLst/>
        </a:prstGeom>
      </xdr:spPr>
    </xdr:pic>
    <xdr:clientData/>
  </xdr:twoCellAnchor>
  <xdr:twoCellAnchor editAs="oneCell">
    <xdr:from>
      <xdr:col>1</xdr:col>
      <xdr:colOff>46259</xdr:colOff>
      <xdr:row>15</xdr:row>
      <xdr:rowOff>102466</xdr:rowOff>
    </xdr:from>
    <xdr:to>
      <xdr:col>1</xdr:col>
      <xdr:colOff>262259</xdr:colOff>
      <xdr:row>16</xdr:row>
      <xdr:rowOff>125392</xdr:rowOff>
    </xdr:to>
    <xdr:pic>
      <xdr:nvPicPr>
        <xdr:cNvPr id="18" name="Graphic 17" descr="Camera with solid fill">
          <a:extLst>
            <a:ext uri="{FF2B5EF4-FFF2-40B4-BE49-F238E27FC236}">
              <a16:creationId xmlns:a16="http://schemas.microsoft.com/office/drawing/2014/main" id="{BED8E495-F9EB-47BB-96AC-6DA6BD7B6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408209" y="2959966"/>
          <a:ext cx="216000" cy="213426"/>
        </a:xfrm>
        <a:prstGeom prst="rect">
          <a:avLst/>
        </a:prstGeom>
      </xdr:spPr>
    </xdr:pic>
    <xdr:clientData/>
  </xdr:twoCellAnchor>
  <xdr:twoCellAnchor editAs="oneCell">
    <xdr:from>
      <xdr:col>1</xdr:col>
      <xdr:colOff>46259</xdr:colOff>
      <xdr:row>12</xdr:row>
      <xdr:rowOff>85135</xdr:rowOff>
    </xdr:from>
    <xdr:to>
      <xdr:col>1</xdr:col>
      <xdr:colOff>262259</xdr:colOff>
      <xdr:row>13</xdr:row>
      <xdr:rowOff>108061</xdr:rowOff>
    </xdr:to>
    <xdr:pic>
      <xdr:nvPicPr>
        <xdr:cNvPr id="19" name="Graphic 18" descr="Cheers with solid fill">
          <a:extLst>
            <a:ext uri="{FF2B5EF4-FFF2-40B4-BE49-F238E27FC236}">
              <a16:creationId xmlns:a16="http://schemas.microsoft.com/office/drawing/2014/main" id="{7EC57D27-8812-487B-89E0-DBE55291A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408209" y="2371135"/>
          <a:ext cx="216000" cy="213426"/>
        </a:xfrm>
        <a:prstGeom prst="rect">
          <a:avLst/>
        </a:prstGeom>
      </xdr:spPr>
    </xdr:pic>
    <xdr:clientData/>
  </xdr:twoCellAnchor>
  <xdr:twoCellAnchor editAs="oneCell">
    <xdr:from>
      <xdr:col>1</xdr:col>
      <xdr:colOff>28259</xdr:colOff>
      <xdr:row>13</xdr:row>
      <xdr:rowOff>48498</xdr:rowOff>
    </xdr:from>
    <xdr:to>
      <xdr:col>1</xdr:col>
      <xdr:colOff>280259</xdr:colOff>
      <xdr:row>14</xdr:row>
      <xdr:rowOff>107423</xdr:rowOff>
    </xdr:to>
    <xdr:pic>
      <xdr:nvPicPr>
        <xdr:cNvPr id="20" name="Graphic 19" descr="City with solid fill">
          <a:extLst>
            <a:ext uri="{FF2B5EF4-FFF2-40B4-BE49-F238E27FC236}">
              <a16:creationId xmlns:a16="http://schemas.microsoft.com/office/drawing/2014/main" id="{DDFB0590-AFB0-40AD-852F-8A992C812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96DAC541-7B7A-43D3-8B79-37D633B846F1}">
              <asvg:svgBlip xmlns:asvg="http://schemas.microsoft.com/office/drawing/2016/SVG/main" r:embed="rId25"/>
            </a:ext>
          </a:extLst>
        </a:blip>
        <a:stretch>
          <a:fillRect/>
        </a:stretch>
      </xdr:blipFill>
      <xdr:spPr>
        <a:xfrm>
          <a:off x="390209" y="2524998"/>
          <a:ext cx="252000" cy="249425"/>
        </a:xfrm>
        <a:prstGeom prst="rect">
          <a:avLst/>
        </a:prstGeom>
      </xdr:spPr>
    </xdr:pic>
    <xdr:clientData/>
  </xdr:twoCellAnchor>
  <xdr:twoCellAnchor editAs="oneCell">
    <xdr:from>
      <xdr:col>1</xdr:col>
      <xdr:colOff>64360</xdr:colOff>
      <xdr:row>10</xdr:row>
      <xdr:rowOff>44038</xdr:rowOff>
    </xdr:from>
    <xdr:to>
      <xdr:col>1</xdr:col>
      <xdr:colOff>280360</xdr:colOff>
      <xdr:row>11</xdr:row>
      <xdr:rowOff>66963</xdr:rowOff>
    </xdr:to>
    <xdr:pic>
      <xdr:nvPicPr>
        <xdr:cNvPr id="21" name="Graphic 20" descr="Cloud Computing with solid fill">
          <a:extLst>
            <a:ext uri="{FF2B5EF4-FFF2-40B4-BE49-F238E27FC236}">
              <a16:creationId xmlns:a16="http://schemas.microsoft.com/office/drawing/2014/main" id="{A34D27F2-5416-4F4D-84F9-BBF68F514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96DAC541-7B7A-43D3-8B79-37D633B846F1}">
              <asvg:svgBlip xmlns:asvg="http://schemas.microsoft.com/office/drawing/2016/SVG/main" r:embed="rId27"/>
            </a:ext>
          </a:extLst>
        </a:blip>
        <a:stretch>
          <a:fillRect/>
        </a:stretch>
      </xdr:blipFill>
      <xdr:spPr>
        <a:xfrm>
          <a:off x="426310" y="1949038"/>
          <a:ext cx="216000" cy="213425"/>
        </a:xfrm>
        <a:prstGeom prst="rect">
          <a:avLst/>
        </a:prstGeom>
      </xdr:spPr>
    </xdr:pic>
    <xdr:clientData/>
  </xdr:twoCellAnchor>
  <xdr:twoCellAnchor editAs="oneCell">
    <xdr:from>
      <xdr:col>1</xdr:col>
      <xdr:colOff>46259</xdr:colOff>
      <xdr:row>14</xdr:row>
      <xdr:rowOff>91064</xdr:rowOff>
    </xdr:from>
    <xdr:to>
      <xdr:col>1</xdr:col>
      <xdr:colOff>262259</xdr:colOff>
      <xdr:row>15</xdr:row>
      <xdr:rowOff>113990</xdr:rowOff>
    </xdr:to>
    <xdr:pic>
      <xdr:nvPicPr>
        <xdr:cNvPr id="22" name="Graphic 21" descr="Globe with solid fill">
          <a:extLst>
            <a:ext uri="{FF2B5EF4-FFF2-40B4-BE49-F238E27FC236}">
              <a16:creationId xmlns:a16="http://schemas.microsoft.com/office/drawing/2014/main" id="{E98DA806-AE6C-478E-8548-0DFEA06BE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96DAC541-7B7A-43D3-8B79-37D633B846F1}">
              <asvg:svgBlip xmlns:asvg="http://schemas.microsoft.com/office/drawing/2016/SVG/main" r:embed="rId29"/>
            </a:ext>
          </a:extLst>
        </a:blip>
        <a:stretch>
          <a:fillRect/>
        </a:stretch>
      </xdr:blipFill>
      <xdr:spPr>
        <a:xfrm>
          <a:off x="408209" y="2758064"/>
          <a:ext cx="216000" cy="213426"/>
        </a:xfrm>
        <a:prstGeom prst="rect">
          <a:avLst/>
        </a:prstGeom>
      </xdr:spPr>
    </xdr:pic>
    <xdr:clientData/>
  </xdr:twoCellAnchor>
  <xdr:twoCellAnchor editAs="absolute">
    <xdr:from>
      <xdr:col>2</xdr:col>
      <xdr:colOff>258978</xdr:colOff>
      <xdr:row>1</xdr:row>
      <xdr:rowOff>12872</xdr:rowOff>
    </xdr:from>
    <xdr:to>
      <xdr:col>19</xdr:col>
      <xdr:colOff>150024</xdr:colOff>
      <xdr:row>4</xdr:row>
      <xdr:rowOff>141588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FE3507AB-2FAC-4EF1-8EA8-45A1C431C163}"/>
            </a:ext>
          </a:extLst>
        </xdr:cNvPr>
        <xdr:cNvSpPr/>
      </xdr:nvSpPr>
      <xdr:spPr>
        <a:xfrm>
          <a:off x="1859178" y="203372"/>
          <a:ext cx="11410435" cy="700216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l"/>
          <a:r>
            <a:rPr lang="en-US" sz="2800">
              <a:solidFill>
                <a:schemeClr val="tx1"/>
              </a:solidFill>
            </a:rPr>
            <a:t> Vendors</a:t>
          </a:r>
          <a:endParaRPr lang="en-IN" sz="2800">
            <a:solidFill>
              <a:schemeClr val="tx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257434</xdr:colOff>
      <xdr:row>1</xdr:row>
      <xdr:rowOff>102973</xdr:rowOff>
    </xdr:from>
    <xdr:to>
      <xdr:col>1</xdr:col>
      <xdr:colOff>901015</xdr:colOff>
      <xdr:row>4</xdr:row>
      <xdr:rowOff>167331</xdr:rowOff>
    </xdr:to>
    <xdr:pic>
      <xdr:nvPicPr>
        <xdr:cNvPr id="24" name="Graphic 23" descr="Books with solid fill">
          <a:extLst>
            <a:ext uri="{FF2B5EF4-FFF2-40B4-BE49-F238E27FC236}">
              <a16:creationId xmlns:a16="http://schemas.microsoft.com/office/drawing/2014/main" id="{1D5EF37C-5384-4B05-B6C3-F99A4D464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19384" y="293473"/>
          <a:ext cx="643581" cy="635858"/>
        </a:xfrm>
        <a:prstGeom prst="rect">
          <a:avLst/>
        </a:prstGeom>
      </xdr:spPr>
    </xdr:pic>
    <xdr:clientData/>
  </xdr:twoCellAnchor>
  <xdr:twoCellAnchor>
    <xdr:from>
      <xdr:col>0</xdr:col>
      <xdr:colOff>334662</xdr:colOff>
      <xdr:row>4</xdr:row>
      <xdr:rowOff>154460</xdr:rowOff>
    </xdr:from>
    <xdr:to>
      <xdr:col>1</xdr:col>
      <xdr:colOff>1203496</xdr:colOff>
      <xdr:row>7</xdr:row>
      <xdr:rowOff>12873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61EDD9C9-E329-4BE0-8097-98BD0D87BE3A}"/>
            </a:ext>
          </a:extLst>
        </xdr:cNvPr>
        <xdr:cNvSpPr/>
      </xdr:nvSpPr>
      <xdr:spPr>
        <a:xfrm>
          <a:off x="334662" y="916460"/>
          <a:ext cx="1230784" cy="4299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900" b="1">
              <a:solidFill>
                <a:schemeClr val="tx1"/>
              </a:solidFill>
            </a:rPr>
            <a:t>Inventory </a:t>
          </a:r>
          <a:r>
            <a:rPr lang="en-US" sz="900" b="1">
              <a:solidFill>
                <a:schemeClr val="tx1"/>
              </a:solidFill>
            </a:rPr>
            <a:t>Management System </a:t>
          </a:r>
          <a:endParaRPr lang="en-IN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260034</xdr:colOff>
      <xdr:row>7</xdr:row>
      <xdr:rowOff>57922</xdr:rowOff>
    </xdr:from>
    <xdr:to>
      <xdr:col>1</xdr:col>
      <xdr:colOff>1023294</xdr:colOff>
      <xdr:row>8</xdr:row>
      <xdr:rowOff>90101</xdr:rowOff>
    </xdr:to>
    <xdr:sp macro="" textlink="">
      <xdr:nvSpPr>
        <xdr:cNvPr id="26" name="Rectangle 2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D2F61F9-08AD-433D-8335-ED0DFADC436F}"/>
            </a:ext>
          </a:extLst>
        </xdr:cNvPr>
        <xdr:cNvSpPr/>
      </xdr:nvSpPr>
      <xdr:spPr>
        <a:xfrm>
          <a:off x="621984" y="1391422"/>
          <a:ext cx="763260" cy="22267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Dashboard </a:t>
          </a:r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239425</xdr:colOff>
      <xdr:row>8</xdr:row>
      <xdr:rowOff>32242</xdr:rowOff>
    </xdr:from>
    <xdr:to>
      <xdr:col>1</xdr:col>
      <xdr:colOff>1023294</xdr:colOff>
      <xdr:row>9</xdr:row>
      <xdr:rowOff>64422</xdr:rowOff>
    </xdr:to>
    <xdr:sp macro="" textlink="">
      <xdr:nvSpPr>
        <xdr:cNvPr id="27" name="Rectangle 2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2B6C51A-C04E-4416-B079-92DB4AA30E1B}"/>
            </a:ext>
          </a:extLst>
        </xdr:cNvPr>
        <xdr:cNvSpPr/>
      </xdr:nvSpPr>
      <xdr:spPr>
        <a:xfrm>
          <a:off x="601375" y="1556242"/>
          <a:ext cx="783869" cy="2226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Customers </a:t>
          </a:r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260034</xdr:colOff>
      <xdr:row>9</xdr:row>
      <xdr:rowOff>38742</xdr:rowOff>
    </xdr:from>
    <xdr:to>
      <xdr:col>1</xdr:col>
      <xdr:colOff>1023294</xdr:colOff>
      <xdr:row>10</xdr:row>
      <xdr:rowOff>70922</xdr:rowOff>
    </xdr:to>
    <xdr:sp macro="" textlink="">
      <xdr:nvSpPr>
        <xdr:cNvPr id="28" name="Rectangle 2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AC33BF6-B471-47B5-B628-DB323A243479}"/>
            </a:ext>
          </a:extLst>
        </xdr:cNvPr>
        <xdr:cNvSpPr/>
      </xdr:nvSpPr>
      <xdr:spPr>
        <a:xfrm>
          <a:off x="621984" y="1753242"/>
          <a:ext cx="763260" cy="2226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Product</a:t>
          </a:r>
        </a:p>
      </xdr:txBody>
    </xdr:sp>
    <xdr:clientData/>
  </xdr:twoCellAnchor>
  <xdr:twoCellAnchor>
    <xdr:from>
      <xdr:col>1</xdr:col>
      <xdr:colOff>260034</xdr:colOff>
      <xdr:row>10</xdr:row>
      <xdr:rowOff>45242</xdr:rowOff>
    </xdr:from>
    <xdr:to>
      <xdr:col>1</xdr:col>
      <xdr:colOff>1023294</xdr:colOff>
      <xdr:row>11</xdr:row>
      <xdr:rowOff>77421</xdr:rowOff>
    </xdr:to>
    <xdr:sp macro="" textlink="">
      <xdr:nvSpPr>
        <xdr:cNvPr id="29" name="Rectangle 2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BF916F6-2A74-4897-AFB7-575E05E21CED}"/>
            </a:ext>
          </a:extLst>
        </xdr:cNvPr>
        <xdr:cNvSpPr/>
      </xdr:nvSpPr>
      <xdr:spPr>
        <a:xfrm>
          <a:off x="621984" y="1950242"/>
          <a:ext cx="763260" cy="22267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260034</xdr:colOff>
      <xdr:row>11</xdr:row>
      <xdr:rowOff>51741</xdr:rowOff>
    </xdr:from>
    <xdr:to>
      <xdr:col>1</xdr:col>
      <xdr:colOff>1023294</xdr:colOff>
      <xdr:row>12</xdr:row>
      <xdr:rowOff>83921</xdr:rowOff>
    </xdr:to>
    <xdr:sp macro="" textlink="">
      <xdr:nvSpPr>
        <xdr:cNvPr id="30" name="Rectangle 2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E92667E-5A96-4557-BD35-36FEFDD8B94A}"/>
            </a:ext>
          </a:extLst>
        </xdr:cNvPr>
        <xdr:cNvSpPr/>
      </xdr:nvSpPr>
      <xdr:spPr>
        <a:xfrm>
          <a:off x="621984" y="2147241"/>
          <a:ext cx="763260" cy="2226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260034</xdr:colOff>
      <xdr:row>12</xdr:row>
      <xdr:rowOff>58242</xdr:rowOff>
    </xdr:from>
    <xdr:to>
      <xdr:col>1</xdr:col>
      <xdr:colOff>1023294</xdr:colOff>
      <xdr:row>13</xdr:row>
      <xdr:rowOff>90422</xdr:rowOff>
    </xdr:to>
    <xdr:sp macro="" textlink="">
      <xdr:nvSpPr>
        <xdr:cNvPr id="31" name="Rectangle 3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D2EF877-5567-4E8C-BBC5-755F6E31A2D3}"/>
            </a:ext>
          </a:extLst>
        </xdr:cNvPr>
        <xdr:cNvSpPr/>
      </xdr:nvSpPr>
      <xdr:spPr>
        <a:xfrm>
          <a:off x="621984" y="2344242"/>
          <a:ext cx="763260" cy="2226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260034</xdr:colOff>
      <xdr:row>13</xdr:row>
      <xdr:rowOff>64743</xdr:rowOff>
    </xdr:from>
    <xdr:to>
      <xdr:col>1</xdr:col>
      <xdr:colOff>1023294</xdr:colOff>
      <xdr:row>14</xdr:row>
      <xdr:rowOff>96922</xdr:rowOff>
    </xdr:to>
    <xdr:sp macro="" textlink="">
      <xdr:nvSpPr>
        <xdr:cNvPr id="32" name="Rectangle 3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DFB1279-4658-4987-8C57-BA99A544922A}"/>
            </a:ext>
          </a:extLst>
        </xdr:cNvPr>
        <xdr:cNvSpPr/>
      </xdr:nvSpPr>
      <xdr:spPr>
        <a:xfrm>
          <a:off x="621984" y="2541243"/>
          <a:ext cx="763260" cy="22267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260034</xdr:colOff>
      <xdr:row>14</xdr:row>
      <xdr:rowOff>71243</xdr:rowOff>
    </xdr:from>
    <xdr:to>
      <xdr:col>1</xdr:col>
      <xdr:colOff>1023294</xdr:colOff>
      <xdr:row>15</xdr:row>
      <xdr:rowOff>103423</xdr:rowOff>
    </xdr:to>
    <xdr:sp macro="" textlink="">
      <xdr:nvSpPr>
        <xdr:cNvPr id="33" name="Rectangle 3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FD6DDA6-7815-48D9-B978-6785A12BED25}"/>
            </a:ext>
          </a:extLst>
        </xdr:cNvPr>
        <xdr:cNvSpPr/>
      </xdr:nvSpPr>
      <xdr:spPr>
        <a:xfrm>
          <a:off x="621984" y="2738243"/>
          <a:ext cx="763260" cy="2226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260034</xdr:colOff>
      <xdr:row>15</xdr:row>
      <xdr:rowOff>77744</xdr:rowOff>
    </xdr:from>
    <xdr:to>
      <xdr:col>1</xdr:col>
      <xdr:colOff>1023294</xdr:colOff>
      <xdr:row>16</xdr:row>
      <xdr:rowOff>109924</xdr:rowOff>
    </xdr:to>
    <xdr:sp macro="" textlink="">
      <xdr:nvSpPr>
        <xdr:cNvPr id="34" name="Rectangle 3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DCE6C89-A28F-473F-9A46-2FA8DCB7DBB1}"/>
            </a:ext>
          </a:extLst>
        </xdr:cNvPr>
        <xdr:cNvSpPr/>
      </xdr:nvSpPr>
      <xdr:spPr>
        <a:xfrm>
          <a:off x="621984" y="2935244"/>
          <a:ext cx="763260" cy="2226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Pivots</a:t>
          </a:r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5</xdr:col>
      <xdr:colOff>6435</xdr:colOff>
      <xdr:row>4</xdr:row>
      <xdr:rowOff>32180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6A0C1999-32A6-452E-B023-3EE8D8BE1AA9}"/>
            </a:ext>
          </a:extLst>
        </xdr:cNvPr>
        <xdr:cNvSpPr/>
      </xdr:nvSpPr>
      <xdr:spPr>
        <a:xfrm>
          <a:off x="2209800" y="571500"/>
          <a:ext cx="1225635" cy="2226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 editAs="oneCell">
    <xdr:from>
      <xdr:col>0</xdr:col>
      <xdr:colOff>334664</xdr:colOff>
      <xdr:row>8</xdr:row>
      <xdr:rowOff>70796</xdr:rowOff>
    </xdr:from>
    <xdr:to>
      <xdr:col>1</xdr:col>
      <xdr:colOff>334259</xdr:colOff>
      <xdr:row>9</xdr:row>
      <xdr:rowOff>39431</xdr:rowOff>
    </xdr:to>
    <xdr:pic>
      <xdr:nvPicPr>
        <xdr:cNvPr id="36" name="Graphic 35" descr="Call center with solid fill">
          <a:extLst>
            <a:ext uri="{FF2B5EF4-FFF2-40B4-BE49-F238E27FC236}">
              <a16:creationId xmlns:a16="http://schemas.microsoft.com/office/drawing/2014/main" id="{00CA1CA6-CE49-4D51-A2C0-34F17344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334664" y="1594796"/>
          <a:ext cx="361545" cy="159135"/>
        </a:xfrm>
        <a:prstGeom prst="rect">
          <a:avLst/>
        </a:prstGeom>
      </xdr:spPr>
    </xdr:pic>
    <xdr:clientData/>
  </xdr:twoCellAnchor>
  <xdr:twoCellAnchor editAs="oneCell">
    <xdr:from>
      <xdr:col>1</xdr:col>
      <xdr:colOff>46259</xdr:colOff>
      <xdr:row>7</xdr:row>
      <xdr:rowOff>19308</xdr:rowOff>
    </xdr:from>
    <xdr:to>
      <xdr:col>1</xdr:col>
      <xdr:colOff>262259</xdr:colOff>
      <xdr:row>8</xdr:row>
      <xdr:rowOff>42233</xdr:rowOff>
    </xdr:to>
    <xdr:pic>
      <xdr:nvPicPr>
        <xdr:cNvPr id="37" name="Graphic 36" descr="Bar graph with upward trend with solid fill">
          <a:extLst>
            <a:ext uri="{FF2B5EF4-FFF2-40B4-BE49-F238E27FC236}">
              <a16:creationId xmlns:a16="http://schemas.microsoft.com/office/drawing/2014/main" id="{49AF13FD-0C7C-4B09-8306-85287E2B1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408209" y="1352808"/>
          <a:ext cx="216000" cy="213425"/>
        </a:xfrm>
        <a:prstGeom prst="rect">
          <a:avLst/>
        </a:prstGeom>
      </xdr:spPr>
    </xdr:pic>
    <xdr:clientData/>
  </xdr:twoCellAnchor>
  <xdr:twoCellAnchor editAs="oneCell">
    <xdr:from>
      <xdr:col>1</xdr:col>
      <xdr:colOff>46259</xdr:colOff>
      <xdr:row>11</xdr:row>
      <xdr:rowOff>47026</xdr:rowOff>
    </xdr:from>
    <xdr:to>
      <xdr:col>1</xdr:col>
      <xdr:colOff>262259</xdr:colOff>
      <xdr:row>12</xdr:row>
      <xdr:rowOff>69952</xdr:rowOff>
    </xdr:to>
    <xdr:pic>
      <xdr:nvPicPr>
        <xdr:cNvPr id="38" name="Graphic 37" descr="Books on shelf with solid fill">
          <a:extLst>
            <a:ext uri="{FF2B5EF4-FFF2-40B4-BE49-F238E27FC236}">
              <a16:creationId xmlns:a16="http://schemas.microsoft.com/office/drawing/2014/main" id="{9D786928-1539-4A07-9BDA-BD35DCAD8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408209" y="2142526"/>
          <a:ext cx="216000" cy="213426"/>
        </a:xfrm>
        <a:prstGeom prst="rect">
          <a:avLst/>
        </a:prstGeom>
      </xdr:spPr>
    </xdr:pic>
    <xdr:clientData/>
  </xdr:twoCellAnchor>
  <xdr:twoCellAnchor editAs="oneCell">
    <xdr:from>
      <xdr:col>1</xdr:col>
      <xdr:colOff>43745</xdr:colOff>
      <xdr:row>9</xdr:row>
      <xdr:rowOff>42567</xdr:rowOff>
    </xdr:from>
    <xdr:to>
      <xdr:col>1</xdr:col>
      <xdr:colOff>223745</xdr:colOff>
      <xdr:row>10</xdr:row>
      <xdr:rowOff>29493</xdr:rowOff>
    </xdr:to>
    <xdr:pic>
      <xdr:nvPicPr>
        <xdr:cNvPr id="39" name="Graphic 38" descr="Building with solid fill">
          <a:extLst>
            <a:ext uri="{FF2B5EF4-FFF2-40B4-BE49-F238E27FC236}">
              <a16:creationId xmlns:a16="http://schemas.microsoft.com/office/drawing/2014/main" id="{2A363214-4664-445D-87D2-4B0341110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405695" y="1757067"/>
          <a:ext cx="180000" cy="177426"/>
        </a:xfrm>
        <a:prstGeom prst="rect">
          <a:avLst/>
        </a:prstGeom>
      </xdr:spPr>
    </xdr:pic>
    <xdr:clientData/>
  </xdr:twoCellAnchor>
  <xdr:twoCellAnchor editAs="oneCell">
    <xdr:from>
      <xdr:col>1</xdr:col>
      <xdr:colOff>46259</xdr:colOff>
      <xdr:row>15</xdr:row>
      <xdr:rowOff>102466</xdr:rowOff>
    </xdr:from>
    <xdr:to>
      <xdr:col>1</xdr:col>
      <xdr:colOff>262259</xdr:colOff>
      <xdr:row>16</xdr:row>
      <xdr:rowOff>125392</xdr:rowOff>
    </xdr:to>
    <xdr:pic>
      <xdr:nvPicPr>
        <xdr:cNvPr id="40" name="Graphic 39" descr="Camera with solid fill">
          <a:extLst>
            <a:ext uri="{FF2B5EF4-FFF2-40B4-BE49-F238E27FC236}">
              <a16:creationId xmlns:a16="http://schemas.microsoft.com/office/drawing/2014/main" id="{ED1351AB-2148-4355-A15B-265B05264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408209" y="2959966"/>
          <a:ext cx="216000" cy="213426"/>
        </a:xfrm>
        <a:prstGeom prst="rect">
          <a:avLst/>
        </a:prstGeom>
      </xdr:spPr>
    </xdr:pic>
    <xdr:clientData/>
  </xdr:twoCellAnchor>
  <xdr:twoCellAnchor editAs="oneCell">
    <xdr:from>
      <xdr:col>1</xdr:col>
      <xdr:colOff>46259</xdr:colOff>
      <xdr:row>12</xdr:row>
      <xdr:rowOff>85135</xdr:rowOff>
    </xdr:from>
    <xdr:to>
      <xdr:col>1</xdr:col>
      <xdr:colOff>262259</xdr:colOff>
      <xdr:row>13</xdr:row>
      <xdr:rowOff>108061</xdr:rowOff>
    </xdr:to>
    <xdr:pic>
      <xdr:nvPicPr>
        <xdr:cNvPr id="41" name="Graphic 40" descr="Cheers with solid fill">
          <a:extLst>
            <a:ext uri="{FF2B5EF4-FFF2-40B4-BE49-F238E27FC236}">
              <a16:creationId xmlns:a16="http://schemas.microsoft.com/office/drawing/2014/main" id="{74C2EEAD-AEFF-433F-9FDA-E4AC8F108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408209" y="2371135"/>
          <a:ext cx="216000" cy="213426"/>
        </a:xfrm>
        <a:prstGeom prst="rect">
          <a:avLst/>
        </a:prstGeom>
      </xdr:spPr>
    </xdr:pic>
    <xdr:clientData/>
  </xdr:twoCellAnchor>
  <xdr:twoCellAnchor editAs="oneCell">
    <xdr:from>
      <xdr:col>1</xdr:col>
      <xdr:colOff>28259</xdr:colOff>
      <xdr:row>13</xdr:row>
      <xdr:rowOff>48498</xdr:rowOff>
    </xdr:from>
    <xdr:to>
      <xdr:col>1</xdr:col>
      <xdr:colOff>280259</xdr:colOff>
      <xdr:row>14</xdr:row>
      <xdr:rowOff>107423</xdr:rowOff>
    </xdr:to>
    <xdr:pic>
      <xdr:nvPicPr>
        <xdr:cNvPr id="42" name="Graphic 41" descr="City with solid fill">
          <a:extLst>
            <a:ext uri="{FF2B5EF4-FFF2-40B4-BE49-F238E27FC236}">
              <a16:creationId xmlns:a16="http://schemas.microsoft.com/office/drawing/2014/main" id="{DBB97577-7ADD-4468-A32B-F71B304C4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96DAC541-7B7A-43D3-8B79-37D633B846F1}">
              <asvg:svgBlip xmlns:asvg="http://schemas.microsoft.com/office/drawing/2016/SVG/main" r:embed="rId25"/>
            </a:ext>
          </a:extLst>
        </a:blip>
        <a:stretch>
          <a:fillRect/>
        </a:stretch>
      </xdr:blipFill>
      <xdr:spPr>
        <a:xfrm>
          <a:off x="390209" y="2524998"/>
          <a:ext cx="252000" cy="249425"/>
        </a:xfrm>
        <a:prstGeom prst="rect">
          <a:avLst/>
        </a:prstGeom>
      </xdr:spPr>
    </xdr:pic>
    <xdr:clientData/>
  </xdr:twoCellAnchor>
  <xdr:twoCellAnchor editAs="oneCell">
    <xdr:from>
      <xdr:col>1</xdr:col>
      <xdr:colOff>64360</xdr:colOff>
      <xdr:row>10</xdr:row>
      <xdr:rowOff>44038</xdr:rowOff>
    </xdr:from>
    <xdr:to>
      <xdr:col>1</xdr:col>
      <xdr:colOff>280360</xdr:colOff>
      <xdr:row>11</xdr:row>
      <xdr:rowOff>66963</xdr:rowOff>
    </xdr:to>
    <xdr:pic>
      <xdr:nvPicPr>
        <xdr:cNvPr id="43" name="Graphic 42" descr="Cloud Computing with solid fill">
          <a:extLst>
            <a:ext uri="{FF2B5EF4-FFF2-40B4-BE49-F238E27FC236}">
              <a16:creationId xmlns:a16="http://schemas.microsoft.com/office/drawing/2014/main" id="{933E5D71-8495-48F5-9599-3CF666A40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96DAC541-7B7A-43D3-8B79-37D633B846F1}">
              <asvg:svgBlip xmlns:asvg="http://schemas.microsoft.com/office/drawing/2016/SVG/main" r:embed="rId27"/>
            </a:ext>
          </a:extLst>
        </a:blip>
        <a:stretch>
          <a:fillRect/>
        </a:stretch>
      </xdr:blipFill>
      <xdr:spPr>
        <a:xfrm>
          <a:off x="426310" y="1949038"/>
          <a:ext cx="216000" cy="213425"/>
        </a:xfrm>
        <a:prstGeom prst="rect">
          <a:avLst/>
        </a:prstGeom>
      </xdr:spPr>
    </xdr:pic>
    <xdr:clientData/>
  </xdr:twoCellAnchor>
  <xdr:twoCellAnchor editAs="oneCell">
    <xdr:from>
      <xdr:col>1</xdr:col>
      <xdr:colOff>46259</xdr:colOff>
      <xdr:row>14</xdr:row>
      <xdr:rowOff>91064</xdr:rowOff>
    </xdr:from>
    <xdr:to>
      <xdr:col>1</xdr:col>
      <xdr:colOff>262259</xdr:colOff>
      <xdr:row>15</xdr:row>
      <xdr:rowOff>113990</xdr:rowOff>
    </xdr:to>
    <xdr:pic>
      <xdr:nvPicPr>
        <xdr:cNvPr id="44" name="Graphic 43" descr="Globe with solid fill">
          <a:extLst>
            <a:ext uri="{FF2B5EF4-FFF2-40B4-BE49-F238E27FC236}">
              <a16:creationId xmlns:a16="http://schemas.microsoft.com/office/drawing/2014/main" id="{11595208-A183-4F96-B9BB-1A54D343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96DAC541-7B7A-43D3-8B79-37D633B846F1}">
              <asvg:svgBlip xmlns:asvg="http://schemas.microsoft.com/office/drawing/2016/SVG/main" r:embed="rId29"/>
            </a:ext>
          </a:extLst>
        </a:blip>
        <a:stretch>
          <a:fillRect/>
        </a:stretch>
      </xdr:blipFill>
      <xdr:spPr>
        <a:xfrm>
          <a:off x="408209" y="2758064"/>
          <a:ext cx="216000" cy="213426"/>
        </a:xfrm>
        <a:prstGeom prst="rect">
          <a:avLst/>
        </a:prstGeom>
      </xdr:spPr>
    </xdr:pic>
    <xdr:clientData/>
  </xdr:twoCellAnchor>
  <xdr:twoCellAnchor editAs="absolute">
    <xdr:from>
      <xdr:col>3</xdr:col>
      <xdr:colOff>97053</xdr:colOff>
      <xdr:row>1</xdr:row>
      <xdr:rowOff>22397</xdr:rowOff>
    </xdr:from>
    <xdr:to>
      <xdr:col>21</xdr:col>
      <xdr:colOff>29863</xdr:colOff>
      <xdr:row>4</xdr:row>
      <xdr:rowOff>151113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F3DEB62B-5537-41C6-8C18-60858C416138}"/>
            </a:ext>
          </a:extLst>
        </xdr:cNvPr>
        <xdr:cNvSpPr/>
      </xdr:nvSpPr>
      <xdr:spPr>
        <a:xfrm>
          <a:off x="1840128" y="212897"/>
          <a:ext cx="11410435" cy="700216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l"/>
          <a:r>
            <a:rPr lang="en-US" sz="2800">
              <a:solidFill>
                <a:schemeClr val="tx1"/>
              </a:solidFill>
            </a:rPr>
            <a:t>New Entry</a:t>
          </a:r>
          <a:endParaRPr lang="en-IN" sz="2800">
            <a:solidFill>
              <a:schemeClr val="tx1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257434</xdr:colOff>
      <xdr:row>1</xdr:row>
      <xdr:rowOff>102973</xdr:rowOff>
    </xdr:from>
    <xdr:to>
      <xdr:col>1</xdr:col>
      <xdr:colOff>901015</xdr:colOff>
      <xdr:row>4</xdr:row>
      <xdr:rowOff>167331</xdr:rowOff>
    </xdr:to>
    <xdr:pic>
      <xdr:nvPicPr>
        <xdr:cNvPr id="2" name="Graphic 1" descr="Books with solid fill">
          <a:extLst>
            <a:ext uri="{FF2B5EF4-FFF2-40B4-BE49-F238E27FC236}">
              <a16:creationId xmlns:a16="http://schemas.microsoft.com/office/drawing/2014/main" id="{BA149375-7D17-4E39-A34C-DBE590C05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19384" y="293473"/>
          <a:ext cx="643581" cy="635858"/>
        </a:xfrm>
        <a:prstGeom prst="rect">
          <a:avLst/>
        </a:prstGeom>
      </xdr:spPr>
    </xdr:pic>
    <xdr:clientData/>
  </xdr:twoCellAnchor>
  <xdr:twoCellAnchor>
    <xdr:from>
      <xdr:col>0</xdr:col>
      <xdr:colOff>334662</xdr:colOff>
      <xdr:row>4</xdr:row>
      <xdr:rowOff>154460</xdr:rowOff>
    </xdr:from>
    <xdr:to>
      <xdr:col>1</xdr:col>
      <xdr:colOff>1203496</xdr:colOff>
      <xdr:row>7</xdr:row>
      <xdr:rowOff>12873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EEA6C6D-87E9-4A13-B23D-2C3654461F2F}"/>
            </a:ext>
          </a:extLst>
        </xdr:cNvPr>
        <xdr:cNvSpPr/>
      </xdr:nvSpPr>
      <xdr:spPr>
        <a:xfrm>
          <a:off x="334662" y="916460"/>
          <a:ext cx="1230784" cy="4299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900" b="1">
              <a:solidFill>
                <a:schemeClr val="tx1"/>
              </a:solidFill>
            </a:rPr>
            <a:t>Inventory </a:t>
          </a:r>
          <a:r>
            <a:rPr lang="en-US" sz="900" b="1">
              <a:solidFill>
                <a:schemeClr val="tx1"/>
              </a:solidFill>
            </a:rPr>
            <a:t>Management System </a:t>
          </a:r>
          <a:endParaRPr lang="en-IN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260034</xdr:colOff>
      <xdr:row>7</xdr:row>
      <xdr:rowOff>57922</xdr:rowOff>
    </xdr:from>
    <xdr:to>
      <xdr:col>1</xdr:col>
      <xdr:colOff>1023294</xdr:colOff>
      <xdr:row>8</xdr:row>
      <xdr:rowOff>90101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821E794-A705-4D08-81F4-925628AAF53E}"/>
            </a:ext>
          </a:extLst>
        </xdr:cNvPr>
        <xdr:cNvSpPr/>
      </xdr:nvSpPr>
      <xdr:spPr>
        <a:xfrm>
          <a:off x="621984" y="1391422"/>
          <a:ext cx="763260" cy="22267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Dashboard </a:t>
          </a:r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239425</xdr:colOff>
      <xdr:row>8</xdr:row>
      <xdr:rowOff>32242</xdr:rowOff>
    </xdr:from>
    <xdr:to>
      <xdr:col>1</xdr:col>
      <xdr:colOff>1023294</xdr:colOff>
      <xdr:row>9</xdr:row>
      <xdr:rowOff>64422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4F2C638-C4B8-457A-BC61-1E36B3065619}"/>
            </a:ext>
          </a:extLst>
        </xdr:cNvPr>
        <xdr:cNvSpPr/>
      </xdr:nvSpPr>
      <xdr:spPr>
        <a:xfrm>
          <a:off x="601375" y="1556242"/>
          <a:ext cx="783869" cy="2226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Customers </a:t>
          </a:r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260034</xdr:colOff>
      <xdr:row>9</xdr:row>
      <xdr:rowOff>38742</xdr:rowOff>
    </xdr:from>
    <xdr:to>
      <xdr:col>1</xdr:col>
      <xdr:colOff>1023294</xdr:colOff>
      <xdr:row>10</xdr:row>
      <xdr:rowOff>70922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E79D2AA-1073-4521-9617-B6C49C725010}"/>
            </a:ext>
          </a:extLst>
        </xdr:cNvPr>
        <xdr:cNvSpPr/>
      </xdr:nvSpPr>
      <xdr:spPr>
        <a:xfrm>
          <a:off x="621984" y="1753242"/>
          <a:ext cx="763260" cy="2226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Product</a:t>
          </a:r>
        </a:p>
      </xdr:txBody>
    </xdr:sp>
    <xdr:clientData/>
  </xdr:twoCellAnchor>
  <xdr:twoCellAnchor>
    <xdr:from>
      <xdr:col>1</xdr:col>
      <xdr:colOff>260034</xdr:colOff>
      <xdr:row>10</xdr:row>
      <xdr:rowOff>45242</xdr:rowOff>
    </xdr:from>
    <xdr:to>
      <xdr:col>1</xdr:col>
      <xdr:colOff>1023294</xdr:colOff>
      <xdr:row>11</xdr:row>
      <xdr:rowOff>77421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1B38D55-80A4-4AFA-A5CB-85BF4298FA37}"/>
            </a:ext>
          </a:extLst>
        </xdr:cNvPr>
        <xdr:cNvSpPr/>
      </xdr:nvSpPr>
      <xdr:spPr>
        <a:xfrm>
          <a:off x="621984" y="1950242"/>
          <a:ext cx="763260" cy="22267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260034</xdr:colOff>
      <xdr:row>11</xdr:row>
      <xdr:rowOff>51741</xdr:rowOff>
    </xdr:from>
    <xdr:to>
      <xdr:col>1</xdr:col>
      <xdr:colOff>1023294</xdr:colOff>
      <xdr:row>12</xdr:row>
      <xdr:rowOff>83921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433E95D-B559-4E19-B62F-FB7549C9C626}"/>
            </a:ext>
          </a:extLst>
        </xdr:cNvPr>
        <xdr:cNvSpPr/>
      </xdr:nvSpPr>
      <xdr:spPr>
        <a:xfrm>
          <a:off x="621984" y="2147241"/>
          <a:ext cx="763260" cy="2226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260034</xdr:colOff>
      <xdr:row>12</xdr:row>
      <xdr:rowOff>58242</xdr:rowOff>
    </xdr:from>
    <xdr:to>
      <xdr:col>1</xdr:col>
      <xdr:colOff>1023294</xdr:colOff>
      <xdr:row>13</xdr:row>
      <xdr:rowOff>90422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DE3D90C-1F90-4BDC-AB08-B21A3CB3DBA2}"/>
            </a:ext>
          </a:extLst>
        </xdr:cNvPr>
        <xdr:cNvSpPr/>
      </xdr:nvSpPr>
      <xdr:spPr>
        <a:xfrm>
          <a:off x="621984" y="2344242"/>
          <a:ext cx="763260" cy="2226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260034</xdr:colOff>
      <xdr:row>13</xdr:row>
      <xdr:rowOff>64743</xdr:rowOff>
    </xdr:from>
    <xdr:to>
      <xdr:col>1</xdr:col>
      <xdr:colOff>1023294</xdr:colOff>
      <xdr:row>14</xdr:row>
      <xdr:rowOff>96922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9B86E50-612F-4D88-A5F0-C37AD2B9DEBC}"/>
            </a:ext>
          </a:extLst>
        </xdr:cNvPr>
        <xdr:cNvSpPr/>
      </xdr:nvSpPr>
      <xdr:spPr>
        <a:xfrm>
          <a:off x="621984" y="2541243"/>
          <a:ext cx="763260" cy="22267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260034</xdr:colOff>
      <xdr:row>14</xdr:row>
      <xdr:rowOff>71243</xdr:rowOff>
    </xdr:from>
    <xdr:to>
      <xdr:col>1</xdr:col>
      <xdr:colOff>1023294</xdr:colOff>
      <xdr:row>15</xdr:row>
      <xdr:rowOff>103423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B081670-E453-486F-B167-80007B173989}"/>
            </a:ext>
          </a:extLst>
        </xdr:cNvPr>
        <xdr:cNvSpPr/>
      </xdr:nvSpPr>
      <xdr:spPr>
        <a:xfrm>
          <a:off x="621984" y="2738243"/>
          <a:ext cx="763260" cy="2226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260034</xdr:colOff>
      <xdr:row>15</xdr:row>
      <xdr:rowOff>77744</xdr:rowOff>
    </xdr:from>
    <xdr:to>
      <xdr:col>1</xdr:col>
      <xdr:colOff>1023294</xdr:colOff>
      <xdr:row>16</xdr:row>
      <xdr:rowOff>109924</xdr:rowOff>
    </xdr:to>
    <xdr:sp macro="" textlink="">
      <xdr:nvSpPr>
        <xdr:cNvPr id="12" name="Rectangle 1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FD3A841-F05D-42E1-B463-D54D8875B560}"/>
            </a:ext>
          </a:extLst>
        </xdr:cNvPr>
        <xdr:cNvSpPr/>
      </xdr:nvSpPr>
      <xdr:spPr>
        <a:xfrm>
          <a:off x="621984" y="2935244"/>
          <a:ext cx="763260" cy="2226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Pivots</a:t>
          </a:r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5</xdr:col>
      <xdr:colOff>6435</xdr:colOff>
      <xdr:row>4</xdr:row>
      <xdr:rowOff>32180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285AC651-BE47-4253-A8DB-4B83BB543558}"/>
            </a:ext>
          </a:extLst>
        </xdr:cNvPr>
        <xdr:cNvSpPr/>
      </xdr:nvSpPr>
      <xdr:spPr>
        <a:xfrm>
          <a:off x="2209800" y="571500"/>
          <a:ext cx="1225635" cy="2226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 editAs="oneCell">
    <xdr:from>
      <xdr:col>0</xdr:col>
      <xdr:colOff>334664</xdr:colOff>
      <xdr:row>8</xdr:row>
      <xdr:rowOff>70796</xdr:rowOff>
    </xdr:from>
    <xdr:to>
      <xdr:col>1</xdr:col>
      <xdr:colOff>334259</xdr:colOff>
      <xdr:row>9</xdr:row>
      <xdr:rowOff>39431</xdr:rowOff>
    </xdr:to>
    <xdr:pic>
      <xdr:nvPicPr>
        <xdr:cNvPr id="14" name="Graphic 13" descr="Call center with solid fill">
          <a:extLst>
            <a:ext uri="{FF2B5EF4-FFF2-40B4-BE49-F238E27FC236}">
              <a16:creationId xmlns:a16="http://schemas.microsoft.com/office/drawing/2014/main" id="{73B6BEAC-0A41-4FE8-855D-F449BF10F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334664" y="1594796"/>
          <a:ext cx="361545" cy="159135"/>
        </a:xfrm>
        <a:prstGeom prst="rect">
          <a:avLst/>
        </a:prstGeom>
      </xdr:spPr>
    </xdr:pic>
    <xdr:clientData/>
  </xdr:twoCellAnchor>
  <xdr:twoCellAnchor editAs="oneCell">
    <xdr:from>
      <xdr:col>1</xdr:col>
      <xdr:colOff>46259</xdr:colOff>
      <xdr:row>7</xdr:row>
      <xdr:rowOff>19308</xdr:rowOff>
    </xdr:from>
    <xdr:to>
      <xdr:col>1</xdr:col>
      <xdr:colOff>262259</xdr:colOff>
      <xdr:row>8</xdr:row>
      <xdr:rowOff>42233</xdr:rowOff>
    </xdr:to>
    <xdr:pic>
      <xdr:nvPicPr>
        <xdr:cNvPr id="15" name="Graphic 14" descr="Bar graph with upward trend with solid fill">
          <a:extLst>
            <a:ext uri="{FF2B5EF4-FFF2-40B4-BE49-F238E27FC236}">
              <a16:creationId xmlns:a16="http://schemas.microsoft.com/office/drawing/2014/main" id="{4C6D71F3-6F67-4BED-9E58-77B5D5930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408209" y="1352808"/>
          <a:ext cx="216000" cy="213425"/>
        </a:xfrm>
        <a:prstGeom prst="rect">
          <a:avLst/>
        </a:prstGeom>
      </xdr:spPr>
    </xdr:pic>
    <xdr:clientData/>
  </xdr:twoCellAnchor>
  <xdr:twoCellAnchor editAs="oneCell">
    <xdr:from>
      <xdr:col>1</xdr:col>
      <xdr:colOff>46259</xdr:colOff>
      <xdr:row>11</xdr:row>
      <xdr:rowOff>47026</xdr:rowOff>
    </xdr:from>
    <xdr:to>
      <xdr:col>1</xdr:col>
      <xdr:colOff>262259</xdr:colOff>
      <xdr:row>12</xdr:row>
      <xdr:rowOff>69952</xdr:rowOff>
    </xdr:to>
    <xdr:pic>
      <xdr:nvPicPr>
        <xdr:cNvPr id="16" name="Graphic 15" descr="Books on shelf with solid fill">
          <a:extLst>
            <a:ext uri="{FF2B5EF4-FFF2-40B4-BE49-F238E27FC236}">
              <a16:creationId xmlns:a16="http://schemas.microsoft.com/office/drawing/2014/main" id="{2A282891-0A33-4FB6-B954-0D0140DCA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408209" y="2142526"/>
          <a:ext cx="216000" cy="213426"/>
        </a:xfrm>
        <a:prstGeom prst="rect">
          <a:avLst/>
        </a:prstGeom>
      </xdr:spPr>
    </xdr:pic>
    <xdr:clientData/>
  </xdr:twoCellAnchor>
  <xdr:twoCellAnchor editAs="oneCell">
    <xdr:from>
      <xdr:col>1</xdr:col>
      <xdr:colOff>43745</xdr:colOff>
      <xdr:row>9</xdr:row>
      <xdr:rowOff>42567</xdr:rowOff>
    </xdr:from>
    <xdr:to>
      <xdr:col>1</xdr:col>
      <xdr:colOff>223745</xdr:colOff>
      <xdr:row>10</xdr:row>
      <xdr:rowOff>29493</xdr:rowOff>
    </xdr:to>
    <xdr:pic>
      <xdr:nvPicPr>
        <xdr:cNvPr id="17" name="Graphic 16" descr="Building with solid fill">
          <a:extLst>
            <a:ext uri="{FF2B5EF4-FFF2-40B4-BE49-F238E27FC236}">
              <a16:creationId xmlns:a16="http://schemas.microsoft.com/office/drawing/2014/main" id="{BD0445C0-DC8F-4367-830B-A151827A3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405695" y="1757067"/>
          <a:ext cx="180000" cy="177426"/>
        </a:xfrm>
        <a:prstGeom prst="rect">
          <a:avLst/>
        </a:prstGeom>
      </xdr:spPr>
    </xdr:pic>
    <xdr:clientData/>
  </xdr:twoCellAnchor>
  <xdr:twoCellAnchor editAs="oneCell">
    <xdr:from>
      <xdr:col>1</xdr:col>
      <xdr:colOff>46259</xdr:colOff>
      <xdr:row>15</xdr:row>
      <xdr:rowOff>102466</xdr:rowOff>
    </xdr:from>
    <xdr:to>
      <xdr:col>1</xdr:col>
      <xdr:colOff>262259</xdr:colOff>
      <xdr:row>16</xdr:row>
      <xdr:rowOff>125392</xdr:rowOff>
    </xdr:to>
    <xdr:pic>
      <xdr:nvPicPr>
        <xdr:cNvPr id="18" name="Graphic 17" descr="Camera with solid fill">
          <a:extLst>
            <a:ext uri="{FF2B5EF4-FFF2-40B4-BE49-F238E27FC236}">
              <a16:creationId xmlns:a16="http://schemas.microsoft.com/office/drawing/2014/main" id="{63E1841A-DD29-4797-9296-00688EF27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408209" y="2959966"/>
          <a:ext cx="216000" cy="213426"/>
        </a:xfrm>
        <a:prstGeom prst="rect">
          <a:avLst/>
        </a:prstGeom>
      </xdr:spPr>
    </xdr:pic>
    <xdr:clientData/>
  </xdr:twoCellAnchor>
  <xdr:twoCellAnchor editAs="oneCell">
    <xdr:from>
      <xdr:col>1</xdr:col>
      <xdr:colOff>46259</xdr:colOff>
      <xdr:row>12</xdr:row>
      <xdr:rowOff>85135</xdr:rowOff>
    </xdr:from>
    <xdr:to>
      <xdr:col>1</xdr:col>
      <xdr:colOff>262259</xdr:colOff>
      <xdr:row>13</xdr:row>
      <xdr:rowOff>108061</xdr:rowOff>
    </xdr:to>
    <xdr:pic>
      <xdr:nvPicPr>
        <xdr:cNvPr id="19" name="Graphic 18" descr="Cheers with solid fill">
          <a:extLst>
            <a:ext uri="{FF2B5EF4-FFF2-40B4-BE49-F238E27FC236}">
              <a16:creationId xmlns:a16="http://schemas.microsoft.com/office/drawing/2014/main" id="{22D8AA7D-2FFA-4FE5-A333-38831938C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408209" y="2371135"/>
          <a:ext cx="216000" cy="213426"/>
        </a:xfrm>
        <a:prstGeom prst="rect">
          <a:avLst/>
        </a:prstGeom>
      </xdr:spPr>
    </xdr:pic>
    <xdr:clientData/>
  </xdr:twoCellAnchor>
  <xdr:twoCellAnchor editAs="oneCell">
    <xdr:from>
      <xdr:col>1</xdr:col>
      <xdr:colOff>28259</xdr:colOff>
      <xdr:row>13</xdr:row>
      <xdr:rowOff>48498</xdr:rowOff>
    </xdr:from>
    <xdr:to>
      <xdr:col>1</xdr:col>
      <xdr:colOff>280259</xdr:colOff>
      <xdr:row>14</xdr:row>
      <xdr:rowOff>107423</xdr:rowOff>
    </xdr:to>
    <xdr:pic>
      <xdr:nvPicPr>
        <xdr:cNvPr id="20" name="Graphic 19" descr="City with solid fill">
          <a:extLst>
            <a:ext uri="{FF2B5EF4-FFF2-40B4-BE49-F238E27FC236}">
              <a16:creationId xmlns:a16="http://schemas.microsoft.com/office/drawing/2014/main" id="{8C45EDB7-395E-47FB-9D62-2DD7D817B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96DAC541-7B7A-43D3-8B79-37D633B846F1}">
              <asvg:svgBlip xmlns:asvg="http://schemas.microsoft.com/office/drawing/2016/SVG/main" r:embed="rId25"/>
            </a:ext>
          </a:extLst>
        </a:blip>
        <a:stretch>
          <a:fillRect/>
        </a:stretch>
      </xdr:blipFill>
      <xdr:spPr>
        <a:xfrm>
          <a:off x="390209" y="2524998"/>
          <a:ext cx="252000" cy="249425"/>
        </a:xfrm>
        <a:prstGeom prst="rect">
          <a:avLst/>
        </a:prstGeom>
      </xdr:spPr>
    </xdr:pic>
    <xdr:clientData/>
  </xdr:twoCellAnchor>
  <xdr:twoCellAnchor editAs="oneCell">
    <xdr:from>
      <xdr:col>1</xdr:col>
      <xdr:colOff>64360</xdr:colOff>
      <xdr:row>10</xdr:row>
      <xdr:rowOff>44038</xdr:rowOff>
    </xdr:from>
    <xdr:to>
      <xdr:col>1</xdr:col>
      <xdr:colOff>280360</xdr:colOff>
      <xdr:row>11</xdr:row>
      <xdr:rowOff>66963</xdr:rowOff>
    </xdr:to>
    <xdr:pic>
      <xdr:nvPicPr>
        <xdr:cNvPr id="21" name="Graphic 20" descr="Cloud Computing with solid fill">
          <a:extLst>
            <a:ext uri="{FF2B5EF4-FFF2-40B4-BE49-F238E27FC236}">
              <a16:creationId xmlns:a16="http://schemas.microsoft.com/office/drawing/2014/main" id="{373DBB6B-BBBB-424E-A8BB-01C3A82E7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96DAC541-7B7A-43D3-8B79-37D633B846F1}">
              <asvg:svgBlip xmlns:asvg="http://schemas.microsoft.com/office/drawing/2016/SVG/main" r:embed="rId27"/>
            </a:ext>
          </a:extLst>
        </a:blip>
        <a:stretch>
          <a:fillRect/>
        </a:stretch>
      </xdr:blipFill>
      <xdr:spPr>
        <a:xfrm>
          <a:off x="426310" y="1949038"/>
          <a:ext cx="216000" cy="213425"/>
        </a:xfrm>
        <a:prstGeom prst="rect">
          <a:avLst/>
        </a:prstGeom>
      </xdr:spPr>
    </xdr:pic>
    <xdr:clientData/>
  </xdr:twoCellAnchor>
  <xdr:twoCellAnchor editAs="oneCell">
    <xdr:from>
      <xdr:col>1</xdr:col>
      <xdr:colOff>46259</xdr:colOff>
      <xdr:row>14</xdr:row>
      <xdr:rowOff>91064</xdr:rowOff>
    </xdr:from>
    <xdr:to>
      <xdr:col>1</xdr:col>
      <xdr:colOff>262259</xdr:colOff>
      <xdr:row>15</xdr:row>
      <xdr:rowOff>113990</xdr:rowOff>
    </xdr:to>
    <xdr:pic>
      <xdr:nvPicPr>
        <xdr:cNvPr id="22" name="Graphic 21" descr="Globe with solid fill">
          <a:extLst>
            <a:ext uri="{FF2B5EF4-FFF2-40B4-BE49-F238E27FC236}">
              <a16:creationId xmlns:a16="http://schemas.microsoft.com/office/drawing/2014/main" id="{7DE096B7-121B-4A24-B69F-444EB50C4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96DAC541-7B7A-43D3-8B79-37D633B846F1}">
              <asvg:svgBlip xmlns:asvg="http://schemas.microsoft.com/office/drawing/2016/SVG/main" r:embed="rId29"/>
            </a:ext>
          </a:extLst>
        </a:blip>
        <a:stretch>
          <a:fillRect/>
        </a:stretch>
      </xdr:blipFill>
      <xdr:spPr>
        <a:xfrm>
          <a:off x="408209" y="2758064"/>
          <a:ext cx="216000" cy="213426"/>
        </a:xfrm>
        <a:prstGeom prst="rect">
          <a:avLst/>
        </a:prstGeom>
      </xdr:spPr>
    </xdr:pic>
    <xdr:clientData/>
  </xdr:twoCellAnchor>
  <xdr:twoCellAnchor editAs="absolute">
    <xdr:from>
      <xdr:col>2</xdr:col>
      <xdr:colOff>601878</xdr:colOff>
      <xdr:row>0</xdr:row>
      <xdr:rowOff>146222</xdr:rowOff>
    </xdr:from>
    <xdr:to>
      <xdr:col>20</xdr:col>
      <xdr:colOff>58438</xdr:colOff>
      <xdr:row>4</xdr:row>
      <xdr:rowOff>84438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E6A57253-1792-459A-A4FE-367A4B941569}"/>
            </a:ext>
          </a:extLst>
        </xdr:cNvPr>
        <xdr:cNvSpPr/>
      </xdr:nvSpPr>
      <xdr:spPr>
        <a:xfrm>
          <a:off x="2202078" y="146222"/>
          <a:ext cx="11410435" cy="700216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l"/>
          <a:r>
            <a:rPr lang="en-US" sz="2800">
              <a:solidFill>
                <a:schemeClr val="tx1"/>
              </a:solidFill>
            </a:rPr>
            <a:t> Purchase</a:t>
          </a:r>
          <a:endParaRPr lang="en-IN" sz="2800">
            <a:solidFill>
              <a:schemeClr val="tx1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257434</xdr:colOff>
      <xdr:row>1</xdr:row>
      <xdr:rowOff>102973</xdr:rowOff>
    </xdr:from>
    <xdr:to>
      <xdr:col>1</xdr:col>
      <xdr:colOff>901015</xdr:colOff>
      <xdr:row>4</xdr:row>
      <xdr:rowOff>167331</xdr:rowOff>
    </xdr:to>
    <xdr:pic>
      <xdr:nvPicPr>
        <xdr:cNvPr id="2" name="Graphic 1" descr="Books with solid fill">
          <a:extLst>
            <a:ext uri="{FF2B5EF4-FFF2-40B4-BE49-F238E27FC236}">
              <a16:creationId xmlns:a16="http://schemas.microsoft.com/office/drawing/2014/main" id="{DFD44184-42AF-4F09-87F6-EF7539151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19384" y="293473"/>
          <a:ext cx="643581" cy="635858"/>
        </a:xfrm>
        <a:prstGeom prst="rect">
          <a:avLst/>
        </a:prstGeom>
      </xdr:spPr>
    </xdr:pic>
    <xdr:clientData/>
  </xdr:twoCellAnchor>
  <xdr:twoCellAnchor>
    <xdr:from>
      <xdr:col>0</xdr:col>
      <xdr:colOff>334662</xdr:colOff>
      <xdr:row>4</xdr:row>
      <xdr:rowOff>154460</xdr:rowOff>
    </xdr:from>
    <xdr:to>
      <xdr:col>1</xdr:col>
      <xdr:colOff>1203496</xdr:colOff>
      <xdr:row>7</xdr:row>
      <xdr:rowOff>12873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6BB467C-6CF9-4833-8666-04F8A5E95130}"/>
            </a:ext>
          </a:extLst>
        </xdr:cNvPr>
        <xdr:cNvSpPr/>
      </xdr:nvSpPr>
      <xdr:spPr>
        <a:xfrm>
          <a:off x="334662" y="916460"/>
          <a:ext cx="1230784" cy="4299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900" b="1">
              <a:solidFill>
                <a:schemeClr val="tx1"/>
              </a:solidFill>
            </a:rPr>
            <a:t>Inventory </a:t>
          </a:r>
          <a:r>
            <a:rPr lang="en-US" sz="900" b="1">
              <a:solidFill>
                <a:schemeClr val="tx1"/>
              </a:solidFill>
            </a:rPr>
            <a:t>Management System </a:t>
          </a:r>
          <a:endParaRPr lang="en-IN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260034</xdr:colOff>
      <xdr:row>7</xdr:row>
      <xdr:rowOff>57922</xdr:rowOff>
    </xdr:from>
    <xdr:to>
      <xdr:col>1</xdr:col>
      <xdr:colOff>1023294</xdr:colOff>
      <xdr:row>8</xdr:row>
      <xdr:rowOff>90101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F61B689-9EA9-4850-86A3-09CBBB85547C}"/>
            </a:ext>
          </a:extLst>
        </xdr:cNvPr>
        <xdr:cNvSpPr/>
      </xdr:nvSpPr>
      <xdr:spPr>
        <a:xfrm>
          <a:off x="621984" y="1391422"/>
          <a:ext cx="763260" cy="22267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Dashboard </a:t>
          </a:r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239425</xdr:colOff>
      <xdr:row>8</xdr:row>
      <xdr:rowOff>32242</xdr:rowOff>
    </xdr:from>
    <xdr:to>
      <xdr:col>1</xdr:col>
      <xdr:colOff>1023294</xdr:colOff>
      <xdr:row>9</xdr:row>
      <xdr:rowOff>64422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1C130A3-275B-4785-B608-83EA69DD749C}"/>
            </a:ext>
          </a:extLst>
        </xdr:cNvPr>
        <xdr:cNvSpPr/>
      </xdr:nvSpPr>
      <xdr:spPr>
        <a:xfrm>
          <a:off x="601375" y="1556242"/>
          <a:ext cx="783869" cy="2226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Customers </a:t>
          </a:r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260034</xdr:colOff>
      <xdr:row>9</xdr:row>
      <xdr:rowOff>38742</xdr:rowOff>
    </xdr:from>
    <xdr:to>
      <xdr:col>1</xdr:col>
      <xdr:colOff>1023294</xdr:colOff>
      <xdr:row>10</xdr:row>
      <xdr:rowOff>70922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0EB8D0A-8382-4975-AD3E-1D5D0AEC892D}"/>
            </a:ext>
          </a:extLst>
        </xdr:cNvPr>
        <xdr:cNvSpPr/>
      </xdr:nvSpPr>
      <xdr:spPr>
        <a:xfrm>
          <a:off x="621984" y="1753242"/>
          <a:ext cx="763260" cy="2226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Product</a:t>
          </a:r>
        </a:p>
      </xdr:txBody>
    </xdr:sp>
    <xdr:clientData/>
  </xdr:twoCellAnchor>
  <xdr:twoCellAnchor>
    <xdr:from>
      <xdr:col>1</xdr:col>
      <xdr:colOff>260034</xdr:colOff>
      <xdr:row>10</xdr:row>
      <xdr:rowOff>45242</xdr:rowOff>
    </xdr:from>
    <xdr:to>
      <xdr:col>1</xdr:col>
      <xdr:colOff>1023294</xdr:colOff>
      <xdr:row>11</xdr:row>
      <xdr:rowOff>77421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033ADC1-D165-402B-AE6B-228C6C5DD7E8}"/>
            </a:ext>
          </a:extLst>
        </xdr:cNvPr>
        <xdr:cNvSpPr/>
      </xdr:nvSpPr>
      <xdr:spPr>
        <a:xfrm>
          <a:off x="621984" y="1950242"/>
          <a:ext cx="763260" cy="22267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260034</xdr:colOff>
      <xdr:row>11</xdr:row>
      <xdr:rowOff>51741</xdr:rowOff>
    </xdr:from>
    <xdr:to>
      <xdr:col>1</xdr:col>
      <xdr:colOff>1023294</xdr:colOff>
      <xdr:row>12</xdr:row>
      <xdr:rowOff>83921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CD31BC9-25C0-4A47-8E8B-D40797DA8784}"/>
            </a:ext>
          </a:extLst>
        </xdr:cNvPr>
        <xdr:cNvSpPr/>
      </xdr:nvSpPr>
      <xdr:spPr>
        <a:xfrm>
          <a:off x="621984" y="2147241"/>
          <a:ext cx="763260" cy="2226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260034</xdr:colOff>
      <xdr:row>12</xdr:row>
      <xdr:rowOff>58242</xdr:rowOff>
    </xdr:from>
    <xdr:to>
      <xdr:col>1</xdr:col>
      <xdr:colOff>1023294</xdr:colOff>
      <xdr:row>13</xdr:row>
      <xdr:rowOff>90422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26FEDB7-0A7F-485A-9FC1-A567B1EF7EE3}"/>
            </a:ext>
          </a:extLst>
        </xdr:cNvPr>
        <xdr:cNvSpPr/>
      </xdr:nvSpPr>
      <xdr:spPr>
        <a:xfrm>
          <a:off x="621984" y="2344242"/>
          <a:ext cx="763260" cy="2226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260034</xdr:colOff>
      <xdr:row>13</xdr:row>
      <xdr:rowOff>64743</xdr:rowOff>
    </xdr:from>
    <xdr:to>
      <xdr:col>1</xdr:col>
      <xdr:colOff>1023294</xdr:colOff>
      <xdr:row>14</xdr:row>
      <xdr:rowOff>96922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72B394-1055-4FEC-BBBC-0A8E483B4F8B}"/>
            </a:ext>
          </a:extLst>
        </xdr:cNvPr>
        <xdr:cNvSpPr/>
      </xdr:nvSpPr>
      <xdr:spPr>
        <a:xfrm>
          <a:off x="621984" y="2541243"/>
          <a:ext cx="763260" cy="22267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260034</xdr:colOff>
      <xdr:row>14</xdr:row>
      <xdr:rowOff>71243</xdr:rowOff>
    </xdr:from>
    <xdr:to>
      <xdr:col>1</xdr:col>
      <xdr:colOff>1023294</xdr:colOff>
      <xdr:row>15</xdr:row>
      <xdr:rowOff>103423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7725258-EEA4-40BE-8F25-4A33B7059C49}"/>
            </a:ext>
          </a:extLst>
        </xdr:cNvPr>
        <xdr:cNvSpPr/>
      </xdr:nvSpPr>
      <xdr:spPr>
        <a:xfrm>
          <a:off x="621984" y="2738243"/>
          <a:ext cx="763260" cy="2226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260034</xdr:colOff>
      <xdr:row>15</xdr:row>
      <xdr:rowOff>77744</xdr:rowOff>
    </xdr:from>
    <xdr:to>
      <xdr:col>1</xdr:col>
      <xdr:colOff>1023294</xdr:colOff>
      <xdr:row>16</xdr:row>
      <xdr:rowOff>109924</xdr:rowOff>
    </xdr:to>
    <xdr:sp macro="" textlink="">
      <xdr:nvSpPr>
        <xdr:cNvPr id="12" name="Rectangle 1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7BE2328-42F7-474E-8FDA-34E4F2586632}"/>
            </a:ext>
          </a:extLst>
        </xdr:cNvPr>
        <xdr:cNvSpPr/>
      </xdr:nvSpPr>
      <xdr:spPr>
        <a:xfrm>
          <a:off x="621984" y="2935244"/>
          <a:ext cx="763260" cy="2226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Pivots</a:t>
          </a:r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5</xdr:col>
      <xdr:colOff>6435</xdr:colOff>
      <xdr:row>4</xdr:row>
      <xdr:rowOff>32180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CCC47913-2BDC-4EE3-827E-ABF3A49526E9}"/>
            </a:ext>
          </a:extLst>
        </xdr:cNvPr>
        <xdr:cNvSpPr/>
      </xdr:nvSpPr>
      <xdr:spPr>
        <a:xfrm>
          <a:off x="2209800" y="571500"/>
          <a:ext cx="1225635" cy="2226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 editAs="oneCell">
    <xdr:from>
      <xdr:col>0</xdr:col>
      <xdr:colOff>334664</xdr:colOff>
      <xdr:row>8</xdr:row>
      <xdr:rowOff>70796</xdr:rowOff>
    </xdr:from>
    <xdr:to>
      <xdr:col>1</xdr:col>
      <xdr:colOff>334259</xdr:colOff>
      <xdr:row>9</xdr:row>
      <xdr:rowOff>39431</xdr:rowOff>
    </xdr:to>
    <xdr:pic>
      <xdr:nvPicPr>
        <xdr:cNvPr id="14" name="Graphic 13" descr="Call center with solid fill">
          <a:extLst>
            <a:ext uri="{FF2B5EF4-FFF2-40B4-BE49-F238E27FC236}">
              <a16:creationId xmlns:a16="http://schemas.microsoft.com/office/drawing/2014/main" id="{8AE4F2EB-ABE6-4F2D-863A-98A22803E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334664" y="1594796"/>
          <a:ext cx="361545" cy="159135"/>
        </a:xfrm>
        <a:prstGeom prst="rect">
          <a:avLst/>
        </a:prstGeom>
      </xdr:spPr>
    </xdr:pic>
    <xdr:clientData/>
  </xdr:twoCellAnchor>
  <xdr:twoCellAnchor editAs="oneCell">
    <xdr:from>
      <xdr:col>1</xdr:col>
      <xdr:colOff>46259</xdr:colOff>
      <xdr:row>7</xdr:row>
      <xdr:rowOff>19308</xdr:rowOff>
    </xdr:from>
    <xdr:to>
      <xdr:col>1</xdr:col>
      <xdr:colOff>262259</xdr:colOff>
      <xdr:row>8</xdr:row>
      <xdr:rowOff>42233</xdr:rowOff>
    </xdr:to>
    <xdr:pic>
      <xdr:nvPicPr>
        <xdr:cNvPr id="15" name="Graphic 14" descr="Bar graph with upward trend with solid fill">
          <a:extLst>
            <a:ext uri="{FF2B5EF4-FFF2-40B4-BE49-F238E27FC236}">
              <a16:creationId xmlns:a16="http://schemas.microsoft.com/office/drawing/2014/main" id="{9E2936C4-6EBA-4807-971B-011F2DC59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408209" y="1352808"/>
          <a:ext cx="216000" cy="213425"/>
        </a:xfrm>
        <a:prstGeom prst="rect">
          <a:avLst/>
        </a:prstGeom>
      </xdr:spPr>
    </xdr:pic>
    <xdr:clientData/>
  </xdr:twoCellAnchor>
  <xdr:twoCellAnchor editAs="oneCell">
    <xdr:from>
      <xdr:col>1</xdr:col>
      <xdr:colOff>46259</xdr:colOff>
      <xdr:row>11</xdr:row>
      <xdr:rowOff>47026</xdr:rowOff>
    </xdr:from>
    <xdr:to>
      <xdr:col>1</xdr:col>
      <xdr:colOff>262259</xdr:colOff>
      <xdr:row>12</xdr:row>
      <xdr:rowOff>69952</xdr:rowOff>
    </xdr:to>
    <xdr:pic>
      <xdr:nvPicPr>
        <xdr:cNvPr id="16" name="Graphic 15" descr="Books on shelf with solid fill">
          <a:extLst>
            <a:ext uri="{FF2B5EF4-FFF2-40B4-BE49-F238E27FC236}">
              <a16:creationId xmlns:a16="http://schemas.microsoft.com/office/drawing/2014/main" id="{E81FC864-C45A-4376-BB25-8AD5F49E9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408209" y="2142526"/>
          <a:ext cx="216000" cy="213426"/>
        </a:xfrm>
        <a:prstGeom prst="rect">
          <a:avLst/>
        </a:prstGeom>
      </xdr:spPr>
    </xdr:pic>
    <xdr:clientData/>
  </xdr:twoCellAnchor>
  <xdr:twoCellAnchor editAs="oneCell">
    <xdr:from>
      <xdr:col>1</xdr:col>
      <xdr:colOff>43745</xdr:colOff>
      <xdr:row>9</xdr:row>
      <xdr:rowOff>42567</xdr:rowOff>
    </xdr:from>
    <xdr:to>
      <xdr:col>1</xdr:col>
      <xdr:colOff>223745</xdr:colOff>
      <xdr:row>10</xdr:row>
      <xdr:rowOff>29493</xdr:rowOff>
    </xdr:to>
    <xdr:pic>
      <xdr:nvPicPr>
        <xdr:cNvPr id="17" name="Graphic 16" descr="Building with solid fill">
          <a:extLst>
            <a:ext uri="{FF2B5EF4-FFF2-40B4-BE49-F238E27FC236}">
              <a16:creationId xmlns:a16="http://schemas.microsoft.com/office/drawing/2014/main" id="{6CF0C420-498B-4A86-94FE-78D6D4AEB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405695" y="1757067"/>
          <a:ext cx="180000" cy="177426"/>
        </a:xfrm>
        <a:prstGeom prst="rect">
          <a:avLst/>
        </a:prstGeom>
      </xdr:spPr>
    </xdr:pic>
    <xdr:clientData/>
  </xdr:twoCellAnchor>
  <xdr:twoCellAnchor editAs="oneCell">
    <xdr:from>
      <xdr:col>1</xdr:col>
      <xdr:colOff>46259</xdr:colOff>
      <xdr:row>15</xdr:row>
      <xdr:rowOff>102466</xdr:rowOff>
    </xdr:from>
    <xdr:to>
      <xdr:col>1</xdr:col>
      <xdr:colOff>262259</xdr:colOff>
      <xdr:row>16</xdr:row>
      <xdr:rowOff>125392</xdr:rowOff>
    </xdr:to>
    <xdr:pic>
      <xdr:nvPicPr>
        <xdr:cNvPr id="18" name="Graphic 17" descr="Camera with solid fill">
          <a:extLst>
            <a:ext uri="{FF2B5EF4-FFF2-40B4-BE49-F238E27FC236}">
              <a16:creationId xmlns:a16="http://schemas.microsoft.com/office/drawing/2014/main" id="{95FCF793-08E0-408D-8041-F669CAB74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408209" y="2959966"/>
          <a:ext cx="216000" cy="213426"/>
        </a:xfrm>
        <a:prstGeom prst="rect">
          <a:avLst/>
        </a:prstGeom>
      </xdr:spPr>
    </xdr:pic>
    <xdr:clientData/>
  </xdr:twoCellAnchor>
  <xdr:twoCellAnchor editAs="oneCell">
    <xdr:from>
      <xdr:col>1</xdr:col>
      <xdr:colOff>46259</xdr:colOff>
      <xdr:row>12</xdr:row>
      <xdr:rowOff>85135</xdr:rowOff>
    </xdr:from>
    <xdr:to>
      <xdr:col>1</xdr:col>
      <xdr:colOff>262259</xdr:colOff>
      <xdr:row>13</xdr:row>
      <xdr:rowOff>108061</xdr:rowOff>
    </xdr:to>
    <xdr:pic>
      <xdr:nvPicPr>
        <xdr:cNvPr id="19" name="Graphic 18" descr="Cheers with solid fill">
          <a:extLst>
            <a:ext uri="{FF2B5EF4-FFF2-40B4-BE49-F238E27FC236}">
              <a16:creationId xmlns:a16="http://schemas.microsoft.com/office/drawing/2014/main" id="{B8D3BBA8-3243-4F91-B832-9593AD40F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408209" y="2371135"/>
          <a:ext cx="216000" cy="213426"/>
        </a:xfrm>
        <a:prstGeom prst="rect">
          <a:avLst/>
        </a:prstGeom>
      </xdr:spPr>
    </xdr:pic>
    <xdr:clientData/>
  </xdr:twoCellAnchor>
  <xdr:twoCellAnchor editAs="oneCell">
    <xdr:from>
      <xdr:col>1</xdr:col>
      <xdr:colOff>28259</xdr:colOff>
      <xdr:row>13</xdr:row>
      <xdr:rowOff>48498</xdr:rowOff>
    </xdr:from>
    <xdr:to>
      <xdr:col>1</xdr:col>
      <xdr:colOff>280259</xdr:colOff>
      <xdr:row>14</xdr:row>
      <xdr:rowOff>107423</xdr:rowOff>
    </xdr:to>
    <xdr:pic>
      <xdr:nvPicPr>
        <xdr:cNvPr id="20" name="Graphic 19" descr="City with solid fill">
          <a:extLst>
            <a:ext uri="{FF2B5EF4-FFF2-40B4-BE49-F238E27FC236}">
              <a16:creationId xmlns:a16="http://schemas.microsoft.com/office/drawing/2014/main" id="{5B4ED5D9-4437-4E64-8A0B-B84D88C1F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96DAC541-7B7A-43D3-8B79-37D633B846F1}">
              <asvg:svgBlip xmlns:asvg="http://schemas.microsoft.com/office/drawing/2016/SVG/main" r:embed="rId25"/>
            </a:ext>
          </a:extLst>
        </a:blip>
        <a:stretch>
          <a:fillRect/>
        </a:stretch>
      </xdr:blipFill>
      <xdr:spPr>
        <a:xfrm>
          <a:off x="390209" y="2524998"/>
          <a:ext cx="252000" cy="249425"/>
        </a:xfrm>
        <a:prstGeom prst="rect">
          <a:avLst/>
        </a:prstGeom>
      </xdr:spPr>
    </xdr:pic>
    <xdr:clientData/>
  </xdr:twoCellAnchor>
  <xdr:twoCellAnchor editAs="oneCell">
    <xdr:from>
      <xdr:col>1</xdr:col>
      <xdr:colOff>64360</xdr:colOff>
      <xdr:row>10</xdr:row>
      <xdr:rowOff>44038</xdr:rowOff>
    </xdr:from>
    <xdr:to>
      <xdr:col>1</xdr:col>
      <xdr:colOff>280360</xdr:colOff>
      <xdr:row>11</xdr:row>
      <xdr:rowOff>66963</xdr:rowOff>
    </xdr:to>
    <xdr:pic>
      <xdr:nvPicPr>
        <xdr:cNvPr id="21" name="Graphic 20" descr="Cloud Computing with solid fill">
          <a:extLst>
            <a:ext uri="{FF2B5EF4-FFF2-40B4-BE49-F238E27FC236}">
              <a16:creationId xmlns:a16="http://schemas.microsoft.com/office/drawing/2014/main" id="{DC0AAD41-E541-4A67-B20D-7C5E59A43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96DAC541-7B7A-43D3-8B79-37D633B846F1}">
              <asvg:svgBlip xmlns:asvg="http://schemas.microsoft.com/office/drawing/2016/SVG/main" r:embed="rId27"/>
            </a:ext>
          </a:extLst>
        </a:blip>
        <a:stretch>
          <a:fillRect/>
        </a:stretch>
      </xdr:blipFill>
      <xdr:spPr>
        <a:xfrm>
          <a:off x="426310" y="1949038"/>
          <a:ext cx="216000" cy="213425"/>
        </a:xfrm>
        <a:prstGeom prst="rect">
          <a:avLst/>
        </a:prstGeom>
      </xdr:spPr>
    </xdr:pic>
    <xdr:clientData/>
  </xdr:twoCellAnchor>
  <xdr:twoCellAnchor editAs="oneCell">
    <xdr:from>
      <xdr:col>1</xdr:col>
      <xdr:colOff>46259</xdr:colOff>
      <xdr:row>14</xdr:row>
      <xdr:rowOff>91064</xdr:rowOff>
    </xdr:from>
    <xdr:to>
      <xdr:col>1</xdr:col>
      <xdr:colOff>262259</xdr:colOff>
      <xdr:row>15</xdr:row>
      <xdr:rowOff>113990</xdr:rowOff>
    </xdr:to>
    <xdr:pic>
      <xdr:nvPicPr>
        <xdr:cNvPr id="22" name="Graphic 21" descr="Globe with solid fill">
          <a:extLst>
            <a:ext uri="{FF2B5EF4-FFF2-40B4-BE49-F238E27FC236}">
              <a16:creationId xmlns:a16="http://schemas.microsoft.com/office/drawing/2014/main" id="{C281CA34-4B49-4CCB-B6C5-EA2BF4A44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96DAC541-7B7A-43D3-8B79-37D633B846F1}">
              <asvg:svgBlip xmlns:asvg="http://schemas.microsoft.com/office/drawing/2016/SVG/main" r:embed="rId29"/>
            </a:ext>
          </a:extLst>
        </a:blip>
        <a:stretch>
          <a:fillRect/>
        </a:stretch>
      </xdr:blipFill>
      <xdr:spPr>
        <a:xfrm>
          <a:off x="408209" y="2758064"/>
          <a:ext cx="216000" cy="213426"/>
        </a:xfrm>
        <a:prstGeom prst="rect">
          <a:avLst/>
        </a:prstGeom>
      </xdr:spPr>
    </xdr:pic>
    <xdr:clientData/>
  </xdr:twoCellAnchor>
  <xdr:twoCellAnchor editAs="absolute">
    <xdr:from>
      <xdr:col>3</xdr:col>
      <xdr:colOff>1803</xdr:colOff>
      <xdr:row>1</xdr:row>
      <xdr:rowOff>12872</xdr:rowOff>
    </xdr:from>
    <xdr:to>
      <xdr:col>19</xdr:col>
      <xdr:colOff>106063</xdr:colOff>
      <xdr:row>4</xdr:row>
      <xdr:rowOff>141588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241A8C6D-FEB4-498B-80A7-D7169552C8BE}"/>
            </a:ext>
          </a:extLst>
        </xdr:cNvPr>
        <xdr:cNvSpPr/>
      </xdr:nvSpPr>
      <xdr:spPr>
        <a:xfrm>
          <a:off x="1735353" y="203372"/>
          <a:ext cx="11410435" cy="700216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l"/>
          <a:r>
            <a:rPr lang="en-US" sz="2800">
              <a:solidFill>
                <a:schemeClr val="tx1"/>
              </a:solidFill>
            </a:rPr>
            <a:t> SALES</a:t>
          </a:r>
          <a:endParaRPr lang="en-IN" sz="2800">
            <a:solidFill>
              <a:schemeClr val="tx1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257434</xdr:colOff>
      <xdr:row>0</xdr:row>
      <xdr:rowOff>102973</xdr:rowOff>
    </xdr:from>
    <xdr:to>
      <xdr:col>1</xdr:col>
      <xdr:colOff>901015</xdr:colOff>
      <xdr:row>3</xdr:row>
      <xdr:rowOff>167331</xdr:rowOff>
    </xdr:to>
    <xdr:pic>
      <xdr:nvPicPr>
        <xdr:cNvPr id="2" name="Graphic 1" descr="Books with solid fill">
          <a:extLst>
            <a:ext uri="{FF2B5EF4-FFF2-40B4-BE49-F238E27FC236}">
              <a16:creationId xmlns:a16="http://schemas.microsoft.com/office/drawing/2014/main" id="{DCA28FE3-75E1-4CD7-AA0C-DC0EFA2AB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19384" y="293473"/>
          <a:ext cx="643581" cy="635858"/>
        </a:xfrm>
        <a:prstGeom prst="rect">
          <a:avLst/>
        </a:prstGeom>
      </xdr:spPr>
    </xdr:pic>
    <xdr:clientData/>
  </xdr:twoCellAnchor>
  <xdr:twoCellAnchor>
    <xdr:from>
      <xdr:col>0</xdr:col>
      <xdr:colOff>334662</xdr:colOff>
      <xdr:row>3</xdr:row>
      <xdr:rowOff>154460</xdr:rowOff>
    </xdr:from>
    <xdr:to>
      <xdr:col>1</xdr:col>
      <xdr:colOff>1203496</xdr:colOff>
      <xdr:row>6</xdr:row>
      <xdr:rowOff>12873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9EF0F72-0398-4E6B-9E80-BB4EEFA2C4A9}"/>
            </a:ext>
          </a:extLst>
        </xdr:cNvPr>
        <xdr:cNvSpPr/>
      </xdr:nvSpPr>
      <xdr:spPr>
        <a:xfrm>
          <a:off x="334662" y="916460"/>
          <a:ext cx="1230784" cy="4299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900" b="1">
              <a:solidFill>
                <a:schemeClr val="tx1"/>
              </a:solidFill>
            </a:rPr>
            <a:t>Inventory </a:t>
          </a:r>
          <a:r>
            <a:rPr lang="en-US" sz="900" b="1">
              <a:solidFill>
                <a:schemeClr val="tx1"/>
              </a:solidFill>
            </a:rPr>
            <a:t>Management System </a:t>
          </a:r>
          <a:endParaRPr lang="en-IN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260034</xdr:colOff>
      <xdr:row>6</xdr:row>
      <xdr:rowOff>57922</xdr:rowOff>
    </xdr:from>
    <xdr:to>
      <xdr:col>1</xdr:col>
      <xdr:colOff>1023294</xdr:colOff>
      <xdr:row>7</xdr:row>
      <xdr:rowOff>90101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15DB2FA-163E-4398-8B43-0CF6EF93C797}"/>
            </a:ext>
          </a:extLst>
        </xdr:cNvPr>
        <xdr:cNvSpPr/>
      </xdr:nvSpPr>
      <xdr:spPr>
        <a:xfrm>
          <a:off x="621984" y="1391422"/>
          <a:ext cx="763260" cy="22267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Dashboard </a:t>
          </a:r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239425</xdr:colOff>
      <xdr:row>7</xdr:row>
      <xdr:rowOff>32242</xdr:rowOff>
    </xdr:from>
    <xdr:to>
      <xdr:col>1</xdr:col>
      <xdr:colOff>1023294</xdr:colOff>
      <xdr:row>8</xdr:row>
      <xdr:rowOff>64422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52288A4-665A-4497-8533-A6BDF7DE95DC}"/>
            </a:ext>
          </a:extLst>
        </xdr:cNvPr>
        <xdr:cNvSpPr/>
      </xdr:nvSpPr>
      <xdr:spPr>
        <a:xfrm>
          <a:off x="601375" y="1556242"/>
          <a:ext cx="783869" cy="2226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Customers </a:t>
          </a:r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260034</xdr:colOff>
      <xdr:row>8</xdr:row>
      <xdr:rowOff>38742</xdr:rowOff>
    </xdr:from>
    <xdr:to>
      <xdr:col>1</xdr:col>
      <xdr:colOff>1023294</xdr:colOff>
      <xdr:row>9</xdr:row>
      <xdr:rowOff>70922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356CCC4-C102-4DF4-85B4-1F922E0064A8}"/>
            </a:ext>
          </a:extLst>
        </xdr:cNvPr>
        <xdr:cNvSpPr/>
      </xdr:nvSpPr>
      <xdr:spPr>
        <a:xfrm>
          <a:off x="621984" y="1753242"/>
          <a:ext cx="763260" cy="2226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Product</a:t>
          </a:r>
        </a:p>
      </xdr:txBody>
    </xdr:sp>
    <xdr:clientData/>
  </xdr:twoCellAnchor>
  <xdr:twoCellAnchor>
    <xdr:from>
      <xdr:col>1</xdr:col>
      <xdr:colOff>260034</xdr:colOff>
      <xdr:row>9</xdr:row>
      <xdr:rowOff>45242</xdr:rowOff>
    </xdr:from>
    <xdr:to>
      <xdr:col>1</xdr:col>
      <xdr:colOff>1023294</xdr:colOff>
      <xdr:row>10</xdr:row>
      <xdr:rowOff>77421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D269111-3EEA-4216-B449-AAA690E4A5C9}"/>
            </a:ext>
          </a:extLst>
        </xdr:cNvPr>
        <xdr:cNvSpPr/>
      </xdr:nvSpPr>
      <xdr:spPr>
        <a:xfrm>
          <a:off x="621984" y="1950242"/>
          <a:ext cx="763260" cy="22267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260034</xdr:colOff>
      <xdr:row>10</xdr:row>
      <xdr:rowOff>51741</xdr:rowOff>
    </xdr:from>
    <xdr:to>
      <xdr:col>1</xdr:col>
      <xdr:colOff>1023294</xdr:colOff>
      <xdr:row>11</xdr:row>
      <xdr:rowOff>83921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40B4A79-C790-4DCD-B022-C783504E7D77}"/>
            </a:ext>
          </a:extLst>
        </xdr:cNvPr>
        <xdr:cNvSpPr/>
      </xdr:nvSpPr>
      <xdr:spPr>
        <a:xfrm>
          <a:off x="621984" y="2147241"/>
          <a:ext cx="763260" cy="2226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260034</xdr:colOff>
      <xdr:row>11</xdr:row>
      <xdr:rowOff>58242</xdr:rowOff>
    </xdr:from>
    <xdr:to>
      <xdr:col>1</xdr:col>
      <xdr:colOff>1023294</xdr:colOff>
      <xdr:row>12</xdr:row>
      <xdr:rowOff>90422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A2CC905-29F4-4FE3-8745-69D274AEDF57}"/>
            </a:ext>
          </a:extLst>
        </xdr:cNvPr>
        <xdr:cNvSpPr/>
      </xdr:nvSpPr>
      <xdr:spPr>
        <a:xfrm>
          <a:off x="621984" y="2344242"/>
          <a:ext cx="763260" cy="2226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260034</xdr:colOff>
      <xdr:row>12</xdr:row>
      <xdr:rowOff>64743</xdr:rowOff>
    </xdr:from>
    <xdr:to>
      <xdr:col>1</xdr:col>
      <xdr:colOff>1023294</xdr:colOff>
      <xdr:row>13</xdr:row>
      <xdr:rowOff>96922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C8F0BD3-16BC-4C91-868C-C02477E38F88}"/>
            </a:ext>
          </a:extLst>
        </xdr:cNvPr>
        <xdr:cNvSpPr/>
      </xdr:nvSpPr>
      <xdr:spPr>
        <a:xfrm>
          <a:off x="621984" y="2541243"/>
          <a:ext cx="763260" cy="22267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260034</xdr:colOff>
      <xdr:row>13</xdr:row>
      <xdr:rowOff>71243</xdr:rowOff>
    </xdr:from>
    <xdr:to>
      <xdr:col>1</xdr:col>
      <xdr:colOff>1023294</xdr:colOff>
      <xdr:row>14</xdr:row>
      <xdr:rowOff>103423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5F7A56F-284A-4D53-AC71-B387D315427D}"/>
            </a:ext>
          </a:extLst>
        </xdr:cNvPr>
        <xdr:cNvSpPr/>
      </xdr:nvSpPr>
      <xdr:spPr>
        <a:xfrm>
          <a:off x="621984" y="2738243"/>
          <a:ext cx="763260" cy="2226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260034</xdr:colOff>
      <xdr:row>14</xdr:row>
      <xdr:rowOff>77744</xdr:rowOff>
    </xdr:from>
    <xdr:to>
      <xdr:col>1</xdr:col>
      <xdr:colOff>1023294</xdr:colOff>
      <xdr:row>15</xdr:row>
      <xdr:rowOff>0</xdr:rowOff>
    </xdr:to>
    <xdr:sp macro="" textlink="">
      <xdr:nvSpPr>
        <xdr:cNvPr id="12" name="Rectangle 1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1AA3CB3-BE67-47CD-927F-A64404C3F53A}"/>
            </a:ext>
          </a:extLst>
        </xdr:cNvPr>
        <xdr:cNvSpPr/>
      </xdr:nvSpPr>
      <xdr:spPr>
        <a:xfrm>
          <a:off x="621984" y="2935244"/>
          <a:ext cx="763260" cy="2226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</a:rPr>
            <a:t>Pivots</a:t>
          </a:r>
        </a:p>
      </xdr:txBody>
    </xdr:sp>
    <xdr:clientData/>
  </xdr:twoCellAnchor>
  <xdr:twoCellAnchor>
    <xdr:from>
      <xdr:col>3</xdr:col>
      <xdr:colOff>0</xdr:colOff>
      <xdr:row>2</xdr:row>
      <xdr:rowOff>0</xdr:rowOff>
    </xdr:from>
    <xdr:to>
      <xdr:col>5</xdr:col>
      <xdr:colOff>6435</xdr:colOff>
      <xdr:row>3</xdr:row>
      <xdr:rowOff>32180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BAEF424D-BED5-4A16-BA3C-17A6C01235E5}"/>
            </a:ext>
          </a:extLst>
        </xdr:cNvPr>
        <xdr:cNvSpPr/>
      </xdr:nvSpPr>
      <xdr:spPr>
        <a:xfrm>
          <a:off x="2209800" y="571500"/>
          <a:ext cx="1225635" cy="2226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 editAs="oneCell">
    <xdr:from>
      <xdr:col>0</xdr:col>
      <xdr:colOff>334664</xdr:colOff>
      <xdr:row>7</xdr:row>
      <xdr:rowOff>70796</xdr:rowOff>
    </xdr:from>
    <xdr:to>
      <xdr:col>1</xdr:col>
      <xdr:colOff>334259</xdr:colOff>
      <xdr:row>8</xdr:row>
      <xdr:rowOff>39431</xdr:rowOff>
    </xdr:to>
    <xdr:pic>
      <xdr:nvPicPr>
        <xdr:cNvPr id="14" name="Graphic 13" descr="Call center with solid fill">
          <a:extLst>
            <a:ext uri="{FF2B5EF4-FFF2-40B4-BE49-F238E27FC236}">
              <a16:creationId xmlns:a16="http://schemas.microsoft.com/office/drawing/2014/main" id="{B929E78F-3EFE-409E-8397-6F3ADBEFC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334664" y="1594796"/>
          <a:ext cx="361545" cy="159135"/>
        </a:xfrm>
        <a:prstGeom prst="rect">
          <a:avLst/>
        </a:prstGeom>
      </xdr:spPr>
    </xdr:pic>
    <xdr:clientData/>
  </xdr:twoCellAnchor>
  <xdr:twoCellAnchor editAs="oneCell">
    <xdr:from>
      <xdr:col>1</xdr:col>
      <xdr:colOff>46259</xdr:colOff>
      <xdr:row>6</xdr:row>
      <xdr:rowOff>19308</xdr:rowOff>
    </xdr:from>
    <xdr:to>
      <xdr:col>1</xdr:col>
      <xdr:colOff>262259</xdr:colOff>
      <xdr:row>7</xdr:row>
      <xdr:rowOff>42233</xdr:rowOff>
    </xdr:to>
    <xdr:pic>
      <xdr:nvPicPr>
        <xdr:cNvPr id="15" name="Graphic 14" descr="Bar graph with upward trend with solid fill">
          <a:extLst>
            <a:ext uri="{FF2B5EF4-FFF2-40B4-BE49-F238E27FC236}">
              <a16:creationId xmlns:a16="http://schemas.microsoft.com/office/drawing/2014/main" id="{47DB4EB1-08C0-44AD-BD94-821925827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408209" y="1352808"/>
          <a:ext cx="216000" cy="213425"/>
        </a:xfrm>
        <a:prstGeom prst="rect">
          <a:avLst/>
        </a:prstGeom>
      </xdr:spPr>
    </xdr:pic>
    <xdr:clientData/>
  </xdr:twoCellAnchor>
  <xdr:twoCellAnchor editAs="oneCell">
    <xdr:from>
      <xdr:col>1</xdr:col>
      <xdr:colOff>46259</xdr:colOff>
      <xdr:row>10</xdr:row>
      <xdr:rowOff>47026</xdr:rowOff>
    </xdr:from>
    <xdr:to>
      <xdr:col>1</xdr:col>
      <xdr:colOff>262259</xdr:colOff>
      <xdr:row>11</xdr:row>
      <xdr:rowOff>69952</xdr:rowOff>
    </xdr:to>
    <xdr:pic>
      <xdr:nvPicPr>
        <xdr:cNvPr id="16" name="Graphic 15" descr="Books on shelf with solid fill">
          <a:extLst>
            <a:ext uri="{FF2B5EF4-FFF2-40B4-BE49-F238E27FC236}">
              <a16:creationId xmlns:a16="http://schemas.microsoft.com/office/drawing/2014/main" id="{FF8BC237-99EA-4A80-898B-2866EF9E3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408209" y="2142526"/>
          <a:ext cx="216000" cy="213426"/>
        </a:xfrm>
        <a:prstGeom prst="rect">
          <a:avLst/>
        </a:prstGeom>
      </xdr:spPr>
    </xdr:pic>
    <xdr:clientData/>
  </xdr:twoCellAnchor>
  <xdr:twoCellAnchor editAs="oneCell">
    <xdr:from>
      <xdr:col>1</xdr:col>
      <xdr:colOff>43745</xdr:colOff>
      <xdr:row>8</xdr:row>
      <xdr:rowOff>42567</xdr:rowOff>
    </xdr:from>
    <xdr:to>
      <xdr:col>1</xdr:col>
      <xdr:colOff>223745</xdr:colOff>
      <xdr:row>9</xdr:row>
      <xdr:rowOff>29493</xdr:rowOff>
    </xdr:to>
    <xdr:pic>
      <xdr:nvPicPr>
        <xdr:cNvPr id="17" name="Graphic 16" descr="Building with solid fill">
          <a:extLst>
            <a:ext uri="{FF2B5EF4-FFF2-40B4-BE49-F238E27FC236}">
              <a16:creationId xmlns:a16="http://schemas.microsoft.com/office/drawing/2014/main" id="{44F6CB6B-CF9D-4628-8107-A4111EEE7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405695" y="1757067"/>
          <a:ext cx="180000" cy="177426"/>
        </a:xfrm>
        <a:prstGeom prst="rect">
          <a:avLst/>
        </a:prstGeom>
      </xdr:spPr>
    </xdr:pic>
    <xdr:clientData/>
  </xdr:twoCellAnchor>
  <xdr:twoCellAnchor editAs="oneCell">
    <xdr:from>
      <xdr:col>1</xdr:col>
      <xdr:colOff>46259</xdr:colOff>
      <xdr:row>14</xdr:row>
      <xdr:rowOff>102466</xdr:rowOff>
    </xdr:from>
    <xdr:to>
      <xdr:col>1</xdr:col>
      <xdr:colOff>262259</xdr:colOff>
      <xdr:row>15</xdr:row>
      <xdr:rowOff>125392</xdr:rowOff>
    </xdr:to>
    <xdr:pic>
      <xdr:nvPicPr>
        <xdr:cNvPr id="18" name="Graphic 17" descr="Camera with solid fill">
          <a:extLst>
            <a:ext uri="{FF2B5EF4-FFF2-40B4-BE49-F238E27FC236}">
              <a16:creationId xmlns:a16="http://schemas.microsoft.com/office/drawing/2014/main" id="{039BC683-21A4-4A08-8B6C-F04A030CD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408209" y="2959966"/>
          <a:ext cx="216000" cy="213426"/>
        </a:xfrm>
        <a:prstGeom prst="rect">
          <a:avLst/>
        </a:prstGeom>
      </xdr:spPr>
    </xdr:pic>
    <xdr:clientData/>
  </xdr:twoCellAnchor>
  <xdr:twoCellAnchor editAs="oneCell">
    <xdr:from>
      <xdr:col>1</xdr:col>
      <xdr:colOff>46259</xdr:colOff>
      <xdr:row>11</xdr:row>
      <xdr:rowOff>85135</xdr:rowOff>
    </xdr:from>
    <xdr:to>
      <xdr:col>1</xdr:col>
      <xdr:colOff>262259</xdr:colOff>
      <xdr:row>12</xdr:row>
      <xdr:rowOff>108061</xdr:rowOff>
    </xdr:to>
    <xdr:pic>
      <xdr:nvPicPr>
        <xdr:cNvPr id="19" name="Graphic 18" descr="Cheers with solid fill">
          <a:extLst>
            <a:ext uri="{FF2B5EF4-FFF2-40B4-BE49-F238E27FC236}">
              <a16:creationId xmlns:a16="http://schemas.microsoft.com/office/drawing/2014/main" id="{7F975212-B389-4C2A-8617-EFC68809A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408209" y="2371135"/>
          <a:ext cx="216000" cy="213426"/>
        </a:xfrm>
        <a:prstGeom prst="rect">
          <a:avLst/>
        </a:prstGeom>
      </xdr:spPr>
    </xdr:pic>
    <xdr:clientData/>
  </xdr:twoCellAnchor>
  <xdr:twoCellAnchor editAs="oneCell">
    <xdr:from>
      <xdr:col>1</xdr:col>
      <xdr:colOff>28259</xdr:colOff>
      <xdr:row>12</xdr:row>
      <xdr:rowOff>48498</xdr:rowOff>
    </xdr:from>
    <xdr:to>
      <xdr:col>1</xdr:col>
      <xdr:colOff>280259</xdr:colOff>
      <xdr:row>13</xdr:row>
      <xdr:rowOff>107423</xdr:rowOff>
    </xdr:to>
    <xdr:pic>
      <xdr:nvPicPr>
        <xdr:cNvPr id="20" name="Graphic 19" descr="City with solid fill">
          <a:extLst>
            <a:ext uri="{FF2B5EF4-FFF2-40B4-BE49-F238E27FC236}">
              <a16:creationId xmlns:a16="http://schemas.microsoft.com/office/drawing/2014/main" id="{957143FE-F2F9-44C3-9973-BD6EC4D6B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96DAC541-7B7A-43D3-8B79-37D633B846F1}">
              <asvg:svgBlip xmlns:asvg="http://schemas.microsoft.com/office/drawing/2016/SVG/main" r:embed="rId25"/>
            </a:ext>
          </a:extLst>
        </a:blip>
        <a:stretch>
          <a:fillRect/>
        </a:stretch>
      </xdr:blipFill>
      <xdr:spPr>
        <a:xfrm>
          <a:off x="390209" y="2524998"/>
          <a:ext cx="252000" cy="249425"/>
        </a:xfrm>
        <a:prstGeom prst="rect">
          <a:avLst/>
        </a:prstGeom>
      </xdr:spPr>
    </xdr:pic>
    <xdr:clientData/>
  </xdr:twoCellAnchor>
  <xdr:twoCellAnchor editAs="oneCell">
    <xdr:from>
      <xdr:col>1</xdr:col>
      <xdr:colOff>64360</xdr:colOff>
      <xdr:row>9</xdr:row>
      <xdr:rowOff>44038</xdr:rowOff>
    </xdr:from>
    <xdr:to>
      <xdr:col>1</xdr:col>
      <xdr:colOff>280360</xdr:colOff>
      <xdr:row>10</xdr:row>
      <xdr:rowOff>66963</xdr:rowOff>
    </xdr:to>
    <xdr:pic>
      <xdr:nvPicPr>
        <xdr:cNvPr id="21" name="Graphic 20" descr="Cloud Computing with solid fill">
          <a:extLst>
            <a:ext uri="{FF2B5EF4-FFF2-40B4-BE49-F238E27FC236}">
              <a16:creationId xmlns:a16="http://schemas.microsoft.com/office/drawing/2014/main" id="{547FD73A-EC43-4550-ADC9-FC13D14F4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96DAC541-7B7A-43D3-8B79-37D633B846F1}">
              <asvg:svgBlip xmlns:asvg="http://schemas.microsoft.com/office/drawing/2016/SVG/main" r:embed="rId27"/>
            </a:ext>
          </a:extLst>
        </a:blip>
        <a:stretch>
          <a:fillRect/>
        </a:stretch>
      </xdr:blipFill>
      <xdr:spPr>
        <a:xfrm>
          <a:off x="426310" y="1949038"/>
          <a:ext cx="216000" cy="213425"/>
        </a:xfrm>
        <a:prstGeom prst="rect">
          <a:avLst/>
        </a:prstGeom>
      </xdr:spPr>
    </xdr:pic>
    <xdr:clientData/>
  </xdr:twoCellAnchor>
  <xdr:twoCellAnchor editAs="oneCell">
    <xdr:from>
      <xdr:col>1</xdr:col>
      <xdr:colOff>46259</xdr:colOff>
      <xdr:row>13</xdr:row>
      <xdr:rowOff>91064</xdr:rowOff>
    </xdr:from>
    <xdr:to>
      <xdr:col>1</xdr:col>
      <xdr:colOff>262259</xdr:colOff>
      <xdr:row>14</xdr:row>
      <xdr:rowOff>113990</xdr:rowOff>
    </xdr:to>
    <xdr:pic>
      <xdr:nvPicPr>
        <xdr:cNvPr id="22" name="Graphic 21" descr="Globe with solid fill">
          <a:extLst>
            <a:ext uri="{FF2B5EF4-FFF2-40B4-BE49-F238E27FC236}">
              <a16:creationId xmlns:a16="http://schemas.microsoft.com/office/drawing/2014/main" id="{29100C78-0417-4D63-B014-441150AED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96DAC541-7B7A-43D3-8B79-37D633B846F1}">
              <asvg:svgBlip xmlns:asvg="http://schemas.microsoft.com/office/drawing/2016/SVG/main" r:embed="rId29"/>
            </a:ext>
          </a:extLst>
        </a:blip>
        <a:stretch>
          <a:fillRect/>
        </a:stretch>
      </xdr:blipFill>
      <xdr:spPr>
        <a:xfrm>
          <a:off x="408209" y="2758064"/>
          <a:ext cx="216000" cy="213426"/>
        </a:xfrm>
        <a:prstGeom prst="rect">
          <a:avLst/>
        </a:prstGeom>
      </xdr:spPr>
    </xdr:pic>
    <xdr:clientData/>
  </xdr:twoCellAnchor>
  <xdr:twoCellAnchor editAs="absolute">
    <xdr:from>
      <xdr:col>3</xdr:col>
      <xdr:colOff>1803</xdr:colOff>
      <xdr:row>0</xdr:row>
      <xdr:rowOff>41447</xdr:rowOff>
    </xdr:from>
    <xdr:to>
      <xdr:col>18</xdr:col>
      <xdr:colOff>163213</xdr:colOff>
      <xdr:row>3</xdr:row>
      <xdr:rowOff>170163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3BFCDE37-65F9-4F86-B01E-077AC55D15F9}"/>
            </a:ext>
          </a:extLst>
        </xdr:cNvPr>
        <xdr:cNvSpPr/>
      </xdr:nvSpPr>
      <xdr:spPr>
        <a:xfrm>
          <a:off x="1735353" y="41447"/>
          <a:ext cx="11410435" cy="700216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l"/>
          <a:r>
            <a:rPr lang="en-US" sz="2800">
              <a:solidFill>
                <a:schemeClr val="tx1"/>
              </a:solidFill>
            </a:rPr>
            <a:t> INVENTORY MANAGEMENT SYSTEM </a:t>
          </a:r>
          <a:endParaRPr lang="en-IN" sz="2800">
            <a:solidFill>
              <a:schemeClr val="tx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 Vardhan Pandey" refreshedDate="46228.675505671294" createdVersion="8" refreshedVersion="8" minRefreshableVersion="3" recordCount="7" xr:uid="{D02B1C20-83D3-4735-B984-566058578BDD}">
  <cacheSource type="worksheet">
    <worksheetSource name="CustomersData"/>
  </cacheSource>
  <cacheFields count="4">
    <cacheField name="Cust_ID" numFmtId="0">
      <sharedItems containsSemiMixedTypes="0" containsString="0" containsNumber="1" containsInteger="1" minValue="100" maxValue="106"/>
    </cacheField>
    <cacheField name="Name" numFmtId="0">
      <sharedItems/>
    </cacheField>
    <cacheField name="Email" numFmtId="0">
      <sharedItems/>
    </cacheField>
    <cacheField name="Addres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 Vardhan Pandey" refreshedDate="46228.686121643521" createdVersion="8" refreshedVersion="8" minRefreshableVersion="3" recordCount="10" xr:uid="{96DEDE13-BD21-4DD4-A06D-8DB14FFB656D}">
  <cacheSource type="worksheet">
    <worksheetSource name="Table4"/>
  </cacheSource>
  <cacheFields count="4">
    <cacheField name="HSN Code" numFmtId="0">
      <sharedItems/>
    </cacheField>
    <cacheField name="Product Name" numFmtId="0">
      <sharedItems/>
    </cacheField>
    <cacheField name="Cost" numFmtId="0">
      <sharedItems containsSemiMixedTypes="0" containsString="0" containsNumber="1" containsInteger="1" minValue="200" maxValue="52000"/>
    </cacheField>
    <cacheField name="Selling Price" numFmtId="0">
      <sharedItems containsSemiMixedTypes="0" containsString="0" containsNumber="1" containsInteger="1" minValue="240" maxValue="62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 Vardhan Pandey" refreshedDate="46228.687314467592" createdVersion="8" refreshedVersion="8" minRefreshableVersion="3" recordCount="10" xr:uid="{F6EF8D34-3AA4-40F3-9EB1-A57531A6DB8C}">
  <cacheSource type="worksheet">
    <worksheetSource name="PurchaseData"/>
  </cacheSource>
  <cacheFields count="7">
    <cacheField name="HSN Code" numFmtId="0">
      <sharedItems/>
    </cacheField>
    <cacheField name="Product Name" numFmtId="0">
      <sharedItems/>
    </cacheField>
    <cacheField name="Vendor" numFmtId="0">
      <sharedItems/>
    </cacheField>
    <cacheField name="Date" numFmtId="14">
      <sharedItems containsSemiMixedTypes="0" containsNonDate="0" containsDate="1" containsString="0" minDate="2004-01-01T00:00:00" maxDate="2004-01-02T00:00:00"/>
    </cacheField>
    <cacheField name="Units" numFmtId="0">
      <sharedItems containsSemiMixedTypes="0" containsString="0" containsNumber="1" containsInteger="1" minValue="2" maxValue="8"/>
    </cacheField>
    <cacheField name="Cost" numFmtId="0">
      <sharedItems containsSemiMixedTypes="0" containsString="0" containsNumber="1" containsInteger="1" minValue="200" maxValue="34500"/>
    </cacheField>
    <cacheField name="Amount" numFmtId="0">
      <sharedItems containsSemiMixedTypes="0" containsString="0" containsNumber="1" containsInteger="1" minValue="1200" maxValue="168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 Vardhan Pandey" refreshedDate="46228.688249189814" createdVersion="8" refreshedVersion="8" minRefreshableVersion="3" recordCount="10" xr:uid="{96321E8B-D052-4035-B9D8-B130FC77AD42}">
  <cacheSource type="worksheet">
    <worksheetSource name="Table7"/>
  </cacheSource>
  <cacheFields count="9">
    <cacheField name="Cust_ID" numFmtId="0">
      <sharedItems containsSemiMixedTypes="0" containsString="0" containsNumber="1" containsInteger="1" minValue="100" maxValue="106"/>
    </cacheField>
    <cacheField name="Cust_Name" numFmtId="0">
      <sharedItems count="7">
        <s v="Raghav"/>
        <s v="Amit"/>
        <s v="Relaince"/>
        <s v="Harsh"/>
        <s v="Ram Sales"/>
        <s v="Atul Ltd."/>
        <s v="Jain tel"/>
      </sharedItems>
    </cacheField>
    <cacheField name="HSN Code" numFmtId="0">
      <sharedItems/>
    </cacheField>
    <cacheField name="Product Name" numFmtId="0">
      <sharedItems/>
    </cacheField>
    <cacheField name="Date" numFmtId="14">
      <sharedItems containsSemiMixedTypes="0" containsNonDate="0" containsDate="1" containsString="0" minDate="2026-01-01T00:00:00" maxDate="2026-01-02T00:00:00"/>
    </cacheField>
    <cacheField name="Stock(Units)" numFmtId="0">
      <sharedItems containsSemiMixedTypes="0" containsString="0" containsNumber="1" containsInteger="1" minValue="-7" maxValue="12"/>
    </cacheField>
    <cacheField name="Units" numFmtId="0">
      <sharedItems containsSemiMixedTypes="0" containsString="0" containsNumber="1" containsInteger="1" minValue="1" maxValue="6"/>
    </cacheField>
    <cacheField name="Price" numFmtId="0">
      <sharedItems containsSemiMixedTypes="0" containsString="0" containsNumber="1" containsInteger="1" minValue="240" maxValue="62400"/>
    </cacheField>
    <cacheField name="Discount" numFmtId="0">
      <sharedItems containsSemiMixedTypes="0" containsString="0" containsNumber="1" containsInteger="1" minValue="816" maxValue="31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 Vardhan Pandey" refreshedDate="46228.690536458336" createdVersion="8" refreshedVersion="8" minRefreshableVersion="3" recordCount="10" xr:uid="{53A0B37B-1381-46F6-B40D-913ADED485BF}">
  <cacheSource type="worksheet">
    <worksheetSource name="Table8"/>
  </cacheSource>
  <cacheFields count="7">
    <cacheField name="HSN Code" numFmtId="0">
      <sharedItems/>
    </cacheField>
    <cacheField name="Product Name" numFmtId="0">
      <sharedItems count="10">
        <s v="SmartWatch"/>
        <s v="Laptop HP  i5"/>
        <s v="Printer"/>
        <s v="Desktop"/>
        <s v="Mouse"/>
        <s v="Keyboard"/>
        <s v="Camera"/>
        <s v="Headphone"/>
        <s v="Speaker"/>
        <s v="Tablets"/>
      </sharedItems>
    </cacheField>
    <cacheField name="Cost" numFmtId="0">
      <sharedItems containsSemiMixedTypes="0" containsString="0" containsNumber="1" containsInteger="1" minValue="200" maxValue="52000"/>
    </cacheField>
    <cacheField name="P Units" numFmtId="0">
      <sharedItems containsSemiMixedTypes="0" containsString="0" containsNumber="1" containsInteger="1" minValue="0" maxValue="16"/>
    </cacheField>
    <cacheField name="S Units" numFmtId="0">
      <sharedItems containsSemiMixedTypes="0" containsString="0" containsNumber="1" containsInteger="1" minValue="0" maxValue="9"/>
    </cacheField>
    <cacheField name="Stock" numFmtId="0">
      <sharedItems containsSemiMixedTypes="0" containsString="0" containsNumber="1" containsInteger="1" minValue="-7" maxValue="12"/>
    </cacheField>
    <cacheField name="Stock Amt" numFmtId="0">
      <sharedItems containsSemiMixedTypes="0" containsString="0" containsNumber="1" containsInteger="1" minValue="-260000" maxValue="25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100"/>
    <s v="Harsh"/>
    <s v="Harsh@gmail.com"/>
    <s v="Delhi,India"/>
  </r>
  <r>
    <n v="101"/>
    <s v="Ram Sales"/>
    <s v="Ram@gmail.com"/>
    <s v="12122,Palwal,HR"/>
  </r>
  <r>
    <n v="102"/>
    <s v="Atul Ltd."/>
    <s v="Atul@gmail.com"/>
    <s v="Faridabad,UP"/>
  </r>
  <r>
    <n v="103"/>
    <s v="Raghav"/>
    <s v="Raghav@gmail.com"/>
    <s v="Agra,UP"/>
  </r>
  <r>
    <n v="104"/>
    <s v="Amit"/>
    <s v="Amit@gmail.com"/>
    <s v="Gurgaon,Sec-16"/>
  </r>
  <r>
    <n v="105"/>
    <s v="Jain tel"/>
    <s v="Jaintel@gmail.com"/>
    <s v="Janpath,New Delhi"/>
  </r>
  <r>
    <n v="106"/>
    <s v="Relaince"/>
    <s v="Relaince@gmail.com"/>
    <s v="Prayagraj,UP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N1001"/>
    <s v="SmartWatch"/>
    <n v="980"/>
    <n v="1176"/>
  </r>
  <r>
    <s v="N1002"/>
    <s v="Laptop HP  i5"/>
    <n v="34500"/>
    <n v="41400"/>
  </r>
  <r>
    <s v="N1003"/>
    <s v="Printer"/>
    <n v="4600"/>
    <n v="5520"/>
  </r>
  <r>
    <s v="N1004"/>
    <s v="Desktop"/>
    <n v="21000"/>
    <n v="25200"/>
  </r>
  <r>
    <s v="N1005"/>
    <s v="Mouse"/>
    <n v="200"/>
    <n v="240"/>
  </r>
  <r>
    <s v="N1006"/>
    <s v="Keyboard"/>
    <n v="340"/>
    <n v="408"/>
  </r>
  <r>
    <s v="N1007"/>
    <s v="Camera"/>
    <n v="52000"/>
    <n v="62400"/>
  </r>
  <r>
    <s v="N1008"/>
    <s v="Headphone"/>
    <n v="799"/>
    <n v="958"/>
  </r>
  <r>
    <s v="N1009"/>
    <s v="Speaker"/>
    <n v="870"/>
    <n v="804"/>
  </r>
  <r>
    <s v="N1010"/>
    <s v="Tablets"/>
    <n v="23500"/>
    <n v="282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N1008"/>
    <s v="Headphone"/>
    <s v="Tech08"/>
    <d v="2004-01-01T00:00:00"/>
    <n v="3"/>
    <n v="799"/>
    <n v="2397"/>
  </r>
  <r>
    <s v="N1008"/>
    <s v="Headphone"/>
    <s v="Tech08"/>
    <d v="2004-01-01T00:00:00"/>
    <n v="4"/>
    <n v="799"/>
    <n v="3196"/>
  </r>
  <r>
    <s v="N1005"/>
    <s v="Mouse"/>
    <s v="Tech05"/>
    <d v="2004-01-01T00:00:00"/>
    <n v="6"/>
    <n v="200"/>
    <n v="1200"/>
  </r>
  <r>
    <s v="N1001"/>
    <s v="SmartWatch"/>
    <s v="Tech01"/>
    <d v="2004-01-01T00:00:00"/>
    <n v="6"/>
    <n v="980"/>
    <n v="5880"/>
  </r>
  <r>
    <s v="N1002"/>
    <s v="Laptop HP  i5"/>
    <s v="Tech02"/>
    <d v="2004-01-01T00:00:00"/>
    <n v="3"/>
    <n v="34500"/>
    <n v="103500"/>
  </r>
  <r>
    <s v="N1003"/>
    <s v="Printer"/>
    <s v="Tech03"/>
    <d v="2004-01-01T00:00:00"/>
    <n v="3"/>
    <n v="4600"/>
    <n v="13800"/>
  </r>
  <r>
    <s v="N1004"/>
    <s v="Desktop"/>
    <s v="Tech04"/>
    <d v="2004-01-01T00:00:00"/>
    <n v="2"/>
    <n v="21000"/>
    <n v="42000"/>
  </r>
  <r>
    <s v="N1009"/>
    <s v="Speaker"/>
    <s v="Tech09"/>
    <d v="2004-01-01T00:00:00"/>
    <n v="2"/>
    <n v="870"/>
    <n v="1740"/>
  </r>
  <r>
    <s v="N1004"/>
    <s v="Desktop"/>
    <s v="Tech04"/>
    <d v="2004-01-01T00:00:00"/>
    <n v="6"/>
    <n v="21000"/>
    <n v="126000"/>
  </r>
  <r>
    <s v="N1004"/>
    <s v="Desktop"/>
    <s v="Tech04"/>
    <d v="2004-01-01T00:00:00"/>
    <n v="8"/>
    <n v="21000"/>
    <n v="1680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3"/>
    <x v="0"/>
    <s v="N1004"/>
    <s v="Desktop"/>
    <d v="2026-01-01T00:00:00"/>
    <n v="12"/>
    <n v="4"/>
    <n v="25200"/>
    <n v="100800"/>
  </r>
  <r>
    <n v="104"/>
    <x v="1"/>
    <s v="N1005"/>
    <s v="Mouse"/>
    <d v="2026-01-01T00:00:00"/>
    <n v="0"/>
    <n v="6"/>
    <n v="240"/>
    <n v="1440"/>
  </r>
  <r>
    <n v="104"/>
    <x v="1"/>
    <s v="N1006"/>
    <s v="Keyboard"/>
    <d v="2026-01-01T00:00:00"/>
    <n v="-2"/>
    <n v="2"/>
    <n v="408"/>
    <n v="816"/>
  </r>
  <r>
    <n v="106"/>
    <x v="2"/>
    <s v="N1007"/>
    <s v="Camera"/>
    <d v="2026-01-01T00:00:00"/>
    <n v="-5"/>
    <n v="5"/>
    <n v="62400"/>
    <n v="312000"/>
  </r>
  <r>
    <n v="100"/>
    <x v="3"/>
    <s v="N1008"/>
    <s v="Headphone"/>
    <d v="2026-01-01T00:00:00"/>
    <n v="5"/>
    <n v="2"/>
    <n v="958"/>
    <n v="1916"/>
  </r>
  <r>
    <n v="101"/>
    <x v="4"/>
    <s v="N1009"/>
    <s v="Speaker"/>
    <d v="2026-01-01T00:00:00"/>
    <n v="-7"/>
    <n v="6"/>
    <n v="804"/>
    <n v="4824"/>
  </r>
  <r>
    <n v="103"/>
    <x v="0"/>
    <s v="N1009"/>
    <s v="Speaker"/>
    <d v="2026-01-01T00:00:00"/>
    <n v="-7"/>
    <n v="3"/>
    <n v="804"/>
    <n v="2412"/>
  </r>
  <r>
    <n v="102"/>
    <x v="5"/>
    <s v="N1001"/>
    <s v="SmartWatch"/>
    <d v="2026-01-01T00:00:00"/>
    <n v="5"/>
    <n v="1"/>
    <n v="1176"/>
    <n v="1176"/>
  </r>
  <r>
    <n v="105"/>
    <x v="6"/>
    <s v="N1002"/>
    <s v="Laptop HP  i5"/>
    <d v="2026-01-01T00:00:00"/>
    <n v="-2"/>
    <n v="5"/>
    <n v="41400"/>
    <n v="207000"/>
  </r>
  <r>
    <n v="100"/>
    <x v="3"/>
    <s v="N1003"/>
    <s v="Printer"/>
    <d v="2026-01-01T00:00:00"/>
    <n v="-3"/>
    <n v="6"/>
    <n v="5520"/>
    <n v="3312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N1001"/>
    <x v="0"/>
    <n v="980"/>
    <n v="6"/>
    <n v="1"/>
    <n v="5"/>
    <n v="4900"/>
  </r>
  <r>
    <s v="N1002"/>
    <x v="1"/>
    <n v="34500"/>
    <n v="3"/>
    <n v="5"/>
    <n v="-2"/>
    <n v="-69000"/>
  </r>
  <r>
    <s v="N1003"/>
    <x v="2"/>
    <n v="4600"/>
    <n v="3"/>
    <n v="6"/>
    <n v="-3"/>
    <n v="-13800"/>
  </r>
  <r>
    <s v="N1004"/>
    <x v="3"/>
    <n v="21000"/>
    <n v="16"/>
    <n v="4"/>
    <n v="12"/>
    <n v="252000"/>
  </r>
  <r>
    <s v="N1005"/>
    <x v="4"/>
    <n v="200"/>
    <n v="6"/>
    <n v="6"/>
    <n v="0"/>
    <n v="0"/>
  </r>
  <r>
    <s v="N1006"/>
    <x v="5"/>
    <n v="340"/>
    <n v="0"/>
    <n v="2"/>
    <n v="-2"/>
    <n v="-680"/>
  </r>
  <r>
    <s v="N1007"/>
    <x v="6"/>
    <n v="52000"/>
    <n v="0"/>
    <n v="5"/>
    <n v="-5"/>
    <n v="-260000"/>
  </r>
  <r>
    <s v="N1008"/>
    <x v="7"/>
    <n v="799"/>
    <n v="7"/>
    <n v="2"/>
    <n v="5"/>
    <n v="3995"/>
  </r>
  <r>
    <s v="N1009"/>
    <x v="8"/>
    <n v="870"/>
    <n v="2"/>
    <n v="9"/>
    <n v="-7"/>
    <n v="-6090"/>
  </r>
  <r>
    <s v="N1010"/>
    <x v="9"/>
    <n v="2350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F15A83-F55C-41CB-8E8F-CAB6C777399B}" name="PivotTable8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20:B31" firstHeaderRow="1" firstDataRow="1" firstDataCol="1"/>
  <pivotFields count="7">
    <pivotField showAll="0"/>
    <pivotField axis="axisRow" showAll="0">
      <items count="11">
        <item x="6"/>
        <item x="3"/>
        <item x="7"/>
        <item x="5"/>
        <item x="1"/>
        <item x="4"/>
        <item x="2"/>
        <item x="0"/>
        <item x="8"/>
        <item x="9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tock" fld="5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997C00-5417-45B7-B83E-C6F1EF8873F7}" name="PivotTable7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F11:G17" firstHeaderRow="1" firstDataRow="1" firstDataCol="1"/>
  <pivotFields count="9">
    <pivotField showAll="0"/>
    <pivotField axis="axisRow" showAll="0" measureFilter="1" sortType="descending">
      <items count="8">
        <item x="1"/>
        <item x="5"/>
        <item x="3"/>
        <item x="6"/>
        <item x="0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showAll="0"/>
    <pivotField showAll="0"/>
    <pivotField showAll="0"/>
    <pivotField dataField="1" showAll="0"/>
  </pivotFields>
  <rowFields count="1">
    <field x="1"/>
  </rowFields>
  <rowItems count="6">
    <i>
      <x v="6"/>
    </i>
    <i>
      <x v="3"/>
    </i>
    <i>
      <x v="4"/>
    </i>
    <i>
      <x v="2"/>
    </i>
    <i>
      <x v="5"/>
    </i>
    <i t="grand">
      <x/>
    </i>
  </rowItems>
  <colItems count="1">
    <i/>
  </colItems>
  <dataFields count="1">
    <dataField name="Sum of Discount" fld="8" baseField="0" baseItem="0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9382E6-F02F-4086-A3AE-7946A331F913}" name="PivotTable6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F2:G8" firstHeaderRow="1" firstDataRow="1" firstDataCol="1"/>
  <pivotFields count="7">
    <pivotField showAll="0"/>
    <pivotField axis="axisRow" showAll="0" measureFilter="1" sortType="descending">
      <items count="11">
        <item x="9"/>
        <item x="8"/>
        <item x="0"/>
        <item x="2"/>
        <item x="4"/>
        <item x="1"/>
        <item x="5"/>
        <item x="7"/>
        <item x="3"/>
        <item x="6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1"/>
  </rowFields>
  <rowItems count="6">
    <i>
      <x v="1"/>
    </i>
    <i>
      <x v="3"/>
    </i>
    <i>
      <x v="4"/>
    </i>
    <i>
      <x v="5"/>
    </i>
    <i>
      <x v="9"/>
    </i>
    <i t="grand">
      <x/>
    </i>
  </rowItems>
  <colItems count="1">
    <i/>
  </colItems>
  <dataFields count="1">
    <dataField name="Sum of S Units" fld="4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AD05B0-F925-48E2-A8C5-2798FADB7F72}" name="PivotTable5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:A15" firstHeaderRow="1" firstDataRow="1" firstDataCol="0"/>
  <pivotFields count="7"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Stock Am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5456DD-3341-434A-924D-BFE9899DD3B6}" name="PivotTable4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A12" firstHeaderRow="1" firstDataRow="1" firstDataCol="0"/>
  <pivotFields count="9">
    <pivotField showAll="0"/>
    <pivotField showAll="0"/>
    <pivotField showAll="0"/>
    <pivotField showAll="0"/>
    <pivotField numFmtId="14"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Disc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2D73CF-E0B1-4FF8-B070-D588AE2CFF8A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A9" firstHeaderRow="1" firstDataRow="1" firstDataCol="0"/>
  <pivotFields count="7">
    <pivotField showAll="0"/>
    <pivotField showAll="0"/>
    <pivotField showAll="0"/>
    <pivotField numFmtId="14"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31EC9E-BE5A-46C8-B000-25BD1F7BF0F3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A6" firstHeaderRow="1" firstDataRow="1" firstDataCol="0"/>
  <pivotFields count="4"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Count of Product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74E0CB-13EC-484C-B30A-8CD601F42008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A3" firstHeaderRow="1" firstDataRow="1" firstDataCol="0"/>
  <pivotFields count="4"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Count of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A61920-2E6A-4070-B226-A7D25EB931C7}" name="CustomersData" displayName="CustomersData" ref="D7:G14" totalsRowShown="0" headerRowDxfId="43" dataDxfId="44">
  <autoFilter ref="D7:G14" xr:uid="{60A61920-2E6A-4070-B226-A7D25EB931C7}"/>
  <tableColumns count="4">
    <tableColumn id="2" xr3:uid="{BDDB5CE0-596B-44FD-ACD3-1517883B0478}" name="Cust_ID" dataDxfId="48"/>
    <tableColumn id="3" xr3:uid="{0459EE29-65A2-46AA-9F66-4B4F8D048285}" name="Name" dataDxfId="47"/>
    <tableColumn id="4" xr3:uid="{28BD9561-C418-4A42-B33B-B04288358F65}" name="Email" dataDxfId="46"/>
    <tableColumn id="5" xr3:uid="{6348F9A3-C1F3-4BC4-BA62-60E72FE877D7}" name="Address" dataDxfId="4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E4F65B-4CD5-4606-8EED-5429A754F692}" name="Table4" displayName="Table4" ref="E7:H17" totalsRowShown="0" headerRowDxfId="37" dataDxfId="38">
  <autoFilter ref="E7:H17" xr:uid="{57E4F65B-4CD5-4606-8EED-5429A754F692}"/>
  <tableColumns count="4">
    <tableColumn id="1" xr3:uid="{E7003907-9F56-4A15-ABE0-F4848CA9E35C}" name="HSN Code" dataDxfId="42"/>
    <tableColumn id="2" xr3:uid="{606B7ACD-0806-436D-BE18-9AEF5A8CDDF1}" name="Product Name" dataDxfId="41"/>
    <tableColumn id="3" xr3:uid="{B9A4CE86-4D8B-4C35-91E5-E765BDAD0BB3}" name="Cost" dataDxfId="40"/>
    <tableColumn id="4" xr3:uid="{7DF5F09C-0E44-472E-9B80-1A5271C36491}" name="Selling Price" dataDxfId="39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E1E655D-9F33-434D-AD08-7A6C635F413B}" name="Table46" displayName="Table46" ref="E7:I17" totalsRowShown="0" headerRowDxfId="36" dataDxfId="35">
  <autoFilter ref="E7:I17" xr:uid="{EE1E655D-9F33-434D-AD08-7A6C635F413B}"/>
  <tableColumns count="5">
    <tableColumn id="1" xr3:uid="{0AE19D24-BFA1-4941-8415-DF8507FDBAA5}" name="HSN Code" dataDxfId="34"/>
    <tableColumn id="2" xr3:uid="{03EC81B4-26F0-4E43-8CBF-E89D3C9E47B6}" name="Product Name" dataDxfId="31"/>
    <tableColumn id="3" xr3:uid="{17350493-2A62-4E12-B9BB-D9D79F1DF98C}" name="Vendor Name" dataDxfId="33"/>
    <tableColumn id="4" xr3:uid="{6B4F117D-8A73-4BB3-B655-2EB636C14979}" name="Phone " dataDxfId="32"/>
    <tableColumn id="5" xr3:uid="{0F8C6D1F-CAA6-4C76-85D5-AECB9290F316}" name="Address" dataDxfId="3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B7CAB90-AB4E-47D1-948E-8D26036775F2}" name="PurchaseData" displayName="PurchaseData" ref="D7:J17" totalsRowShown="0" headerRowDxfId="29" dataDxfId="28">
  <autoFilter ref="D7:J17" xr:uid="{3B7CAB90-AB4E-47D1-948E-8D26036775F2}"/>
  <tableColumns count="7">
    <tableColumn id="1" xr3:uid="{BD0963FA-A9AD-404A-A026-E3CF52CD0C1F}" name="HSN Code" dataDxfId="27"/>
    <tableColumn id="2" xr3:uid="{E9C52CDD-217A-4A35-821A-47A5D1F7A0B1}" name="Product Name" dataDxfId="26">
      <calculatedColumnFormula>IFERROR(VLOOKUP(PurchaseData[[#This Row],[HSN Code]],Table4[#All],2,0),"")</calculatedColumnFormula>
    </tableColumn>
    <tableColumn id="3" xr3:uid="{E113F4F1-7708-47F2-BFBB-0DC060FD8731}" name="Vendor" dataDxfId="25">
      <calculatedColumnFormula>IFERROR(VLOOKUP(PurchaseData[[#This Row],[HSN Code]],Table46[#All],3,0),"")</calculatedColumnFormula>
    </tableColumn>
    <tableColumn id="4" xr3:uid="{DEB8C8E1-A535-4974-8C58-6C22461E6A3B}" name="Date" dataDxfId="24"/>
    <tableColumn id="5" xr3:uid="{2E733303-0DD0-4D38-9B47-7668B4CE3EE3}" name="Units" dataDxfId="23"/>
    <tableColumn id="6" xr3:uid="{80261976-8FB7-4090-B345-7A869B4B2A62}" name="Cost" dataDxfId="22">
      <calculatedColumnFormula>IFERROR(VLOOKUP(PurchaseData[[#This Row],[HSN Code]],Table4[#All],3,0),"")</calculatedColumnFormula>
    </tableColumn>
    <tableColumn id="7" xr3:uid="{1F61265D-F763-45DF-B6CE-814A4BDA3C5D}" name="Amount" dataDxfId="21">
      <calculatedColumnFormula>IFERROR(PurchaseData[[#This Row],[Units]]*PurchaseData[[#This Row],[Cost]],"")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92F6DD7-10B6-4F4F-BE83-321CB6053A80}" name="Table7" displayName="Table7" ref="E8:M18" totalsRowShown="0" headerRowDxfId="15" dataDxfId="16">
  <autoFilter ref="E8:M18" xr:uid="{292F6DD7-10B6-4F4F-BE83-321CB6053A80}"/>
  <tableColumns count="9">
    <tableColumn id="1" xr3:uid="{FC6FE34B-91DD-4770-8E34-66EA7BD5E133}" name="Cust_ID" dataDxfId="20"/>
    <tableColumn id="2" xr3:uid="{D7472945-ED1C-407D-92E1-75DE155888FB}" name="Cust_Name" dataDxfId="14">
      <calculatedColumnFormula>IFERROR(VLOOKUP(Table7[[#This Row],[Cust_ID]],CustomersData[#All],2,0),"")</calculatedColumnFormula>
    </tableColumn>
    <tableColumn id="3" xr3:uid="{DDFF2A66-36BD-40D8-A9F5-1B3FEC501E4B}" name="HSN Code" dataDxfId="19"/>
    <tableColumn id="4" xr3:uid="{4D477EF6-46A2-498D-95A6-215E6588C77F}" name="Product Name" dataDxfId="13">
      <calculatedColumnFormula>IFERROR(VLOOKUP(Table7[[#This Row],[HSN Code]],Table4[#All],2,0),"")</calculatedColumnFormula>
    </tableColumn>
    <tableColumn id="5" xr3:uid="{46CB2591-C412-4553-9AA8-C13172EA568B}" name="Date" dataDxfId="18"/>
    <tableColumn id="6" xr3:uid="{BDA51C1E-B161-4201-A8F7-8D3CE0373DDD}" name="Stock(Units)" dataDxfId="10">
      <calculatedColumnFormula>IFERROR(VLOOKUP(Table7[[#This Row],[HSN Code]],Table8[#All],6,0),"")</calculatedColumnFormula>
    </tableColumn>
    <tableColumn id="7" xr3:uid="{732FB781-7B14-462F-A696-13CAAF4D8396}" name="Units" dataDxfId="17"/>
    <tableColumn id="8" xr3:uid="{C293D18D-3B94-4F15-B730-FAFC037B6FEB}" name="Price" dataDxfId="12">
      <calculatedColumnFormula>IFERROR(VLOOKUP(Table7[[#This Row],[HSN Code]],Table4[#All],4,0),"")</calculatedColumnFormula>
    </tableColumn>
    <tableColumn id="9" xr3:uid="{DB383C3E-C18E-48B3-ACE3-D7C81E635C6B}" name="Discount" dataDxfId="11">
      <calculatedColumnFormula>IFERROR(Table7[[#This Row],[Units]]*Table7[[#This Row],[Price]],"")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532EEC7-46C8-4F58-B709-C486BC0B680E}" name="Table8" displayName="Table8" ref="E5:L15" totalsRowShown="0" headerRowDxfId="9" dataDxfId="8">
  <autoFilter ref="E5:L15" xr:uid="{4532EEC7-46C8-4F58-B709-C486BC0B680E}"/>
  <tableColumns count="8">
    <tableColumn id="1" xr3:uid="{4AA85265-D837-46E5-8109-31E51E7024AE}" name="HSN Code" dataDxfId="7">
      <calculatedColumnFormula>Product!E8</calculatedColumnFormula>
    </tableColumn>
    <tableColumn id="2" xr3:uid="{E99F031D-F4D4-4BF4-9975-7FCC43BC57DE}" name="Product Name" dataDxfId="6">
      <calculatedColumnFormula>Product!F8</calculatedColumnFormula>
    </tableColumn>
    <tableColumn id="3" xr3:uid="{3C464B4E-CCFD-47FA-AD0E-9775A9E3CB15}" name="Cost" dataDxfId="5">
      <calculatedColumnFormula>Product!G8</calculatedColumnFormula>
    </tableColumn>
    <tableColumn id="4" xr3:uid="{049D26EF-6333-42E9-AD16-8446A68A55A2}" name="P Units" dataDxfId="4">
      <calculatedColumnFormula>SUMIF(PurchaseData[Product Name],Table8[[#This Row],[Product Name]],PurchaseData[Units])</calculatedColumnFormula>
    </tableColumn>
    <tableColumn id="5" xr3:uid="{F5A39ECB-7EAE-4A7E-80C9-CCEFD871E78D}" name="S Units" dataDxfId="3">
      <calculatedColumnFormula>SUMIF(Table7[Product Name],Table8[[#This Row],[Product Name]],Table7[Units])</calculatedColumnFormula>
    </tableColumn>
    <tableColumn id="6" xr3:uid="{6B3656D9-7D7F-4F8F-9D67-F01EFD499ADE}" name="Stock" dataDxfId="2">
      <calculatedColumnFormula>Table8[[#This Row],[P Units]]-Table8[[#This Row],[S Units]]</calculatedColumnFormula>
    </tableColumn>
    <tableColumn id="7" xr3:uid="{3CFE8836-FBF7-4FAD-AA8B-607858D71F63}" name="Stock Amt" dataDxfId="1">
      <calculatedColumnFormula>Table8[[#This Row],[Cost]]*Table8[[#This Row],[Stock]]</calculatedColumnFormula>
    </tableColumn>
    <tableColumn id="8" xr3:uid="{7E62A98A-43C5-47B3-AA3E-9B21C83A5A54}" name="Notification" dataDxfId="0">
      <calculatedColumnFormula>IFERROR(IF(J5&lt;5,"📞 "&amp;Table8[[#This Row],[Product Name]]&amp;" Needs  to re-order  ! PH "&amp;VLOOKUP(Table8[[#This Row],[HSN Code]],Table46[#All],4,0),""),"")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hyperlink" Target="mailto:Amit@gmail.com" TargetMode="External"/><Relationship Id="rId7" Type="http://schemas.openxmlformats.org/officeDocument/2006/relationships/hyperlink" Target="mailto:Harsh@gmail.com" TargetMode="External"/><Relationship Id="rId2" Type="http://schemas.openxmlformats.org/officeDocument/2006/relationships/hyperlink" Target="mailto:Jaintel@gmail.com" TargetMode="External"/><Relationship Id="rId1" Type="http://schemas.openxmlformats.org/officeDocument/2006/relationships/hyperlink" Target="mailto:Relaince@gmail.com" TargetMode="External"/><Relationship Id="rId6" Type="http://schemas.openxmlformats.org/officeDocument/2006/relationships/hyperlink" Target="mailto:Ram@gmail.com" TargetMode="External"/><Relationship Id="rId5" Type="http://schemas.openxmlformats.org/officeDocument/2006/relationships/hyperlink" Target="mailto:Atul@gmail.com" TargetMode="External"/><Relationship Id="rId4" Type="http://schemas.openxmlformats.org/officeDocument/2006/relationships/hyperlink" Target="mailto:Raghav@gmail.com" TargetMode="External"/><Relationship Id="rId9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48E4C-A553-4868-8186-86132D1C0A2B}">
  <dimension ref="B1:R77"/>
  <sheetViews>
    <sheetView showGridLines="0" showRowColHeaders="0" tabSelected="1" zoomScale="115" zoomScaleNormal="115" workbookViewId="0">
      <selection activeCell="F34" sqref="F34"/>
    </sheetView>
  </sheetViews>
  <sheetFormatPr defaultRowHeight="15" x14ac:dyDescent="0.25"/>
  <cols>
    <col min="1" max="1" width="5.42578125" style="1" customWidth="1"/>
    <col min="2" max="2" width="20.85546875" style="2" customWidth="1"/>
    <col min="3" max="3" width="10.28515625" style="1" customWidth="1"/>
    <col min="4" max="16384" width="9.140625" style="1"/>
  </cols>
  <sheetData>
    <row r="1" spans="2:18" x14ac:dyDescent="0.25">
      <c r="B1" s="1"/>
    </row>
    <row r="12" spans="2:18" ht="21" x14ac:dyDescent="0.35">
      <c r="M12" s="14" t="s">
        <v>91</v>
      </c>
      <c r="N12" s="13"/>
      <c r="O12" s="13"/>
      <c r="P12" s="13"/>
      <c r="Q12" s="13"/>
      <c r="R12" s="13"/>
    </row>
    <row r="13" spans="2:18" x14ac:dyDescent="0.25">
      <c r="M13" s="15" t="str" cm="1">
        <f t="array" ref="M13:M18">_xlfn._xlws.FILTER(Table8[Notification],Table8[Notification]&lt;&gt;"")</f>
        <v>📞 Printer Needs  to re-order  ! PH 9874561231</v>
      </c>
      <c r="N13" s="15"/>
      <c r="O13" s="15"/>
      <c r="P13" s="15"/>
      <c r="Q13" s="15"/>
      <c r="R13" s="2"/>
    </row>
    <row r="14" spans="2:18" x14ac:dyDescent="0.25">
      <c r="M14" s="15" t="str">
        <v>📞 Desktop Needs  to re-order  ! PH 9874561231</v>
      </c>
      <c r="N14" s="15"/>
      <c r="O14" s="15"/>
      <c r="P14" s="15"/>
      <c r="Q14" s="15"/>
      <c r="R14" s="2"/>
    </row>
    <row r="15" spans="2:18" x14ac:dyDescent="0.25">
      <c r="M15" s="15" t="str">
        <v>📞 Keyboard Needs  to re-order  ! PH 9874561231</v>
      </c>
      <c r="N15" s="15"/>
      <c r="O15" s="15"/>
      <c r="P15" s="15"/>
      <c r="Q15" s="15"/>
      <c r="R15" s="2"/>
    </row>
    <row r="16" spans="2:18" x14ac:dyDescent="0.25">
      <c r="M16" s="15" t="str">
        <v>📞 Camera Needs  to re-order  ! PH 9874561231</v>
      </c>
      <c r="N16" s="15"/>
      <c r="O16" s="15"/>
      <c r="P16" s="15"/>
      <c r="Q16" s="15"/>
      <c r="R16" s="2"/>
    </row>
    <row r="17" spans="2:18" x14ac:dyDescent="0.25">
      <c r="M17" s="15" t="str">
        <v>📞 Headphone Needs  to re-order  ! PH 9874561231</v>
      </c>
      <c r="N17" s="15"/>
      <c r="O17" s="15"/>
      <c r="P17" s="15"/>
      <c r="Q17" s="15"/>
      <c r="R17" s="2"/>
    </row>
    <row r="18" spans="2:18" x14ac:dyDescent="0.25">
      <c r="M18" s="15" t="str">
        <v>📞 Tablets Needs  to re-order  ! PH 9874561231</v>
      </c>
      <c r="N18" s="15"/>
      <c r="O18" s="15"/>
      <c r="P18" s="15"/>
      <c r="Q18" s="15"/>
      <c r="R18" s="2"/>
    </row>
    <row r="19" spans="2:18" x14ac:dyDescent="0.25">
      <c r="M19" s="15"/>
      <c r="N19" s="15"/>
      <c r="O19" s="15"/>
      <c r="P19" s="15"/>
      <c r="Q19" s="15"/>
      <c r="R19" s="2"/>
    </row>
    <row r="20" spans="2:18" x14ac:dyDescent="0.25">
      <c r="M20" s="2"/>
      <c r="N20" s="2"/>
      <c r="O20" s="2"/>
      <c r="P20" s="2"/>
      <c r="Q20" s="2"/>
      <c r="R20" s="2"/>
    </row>
    <row r="21" spans="2:18" x14ac:dyDescent="0.25">
      <c r="M21" s="2"/>
      <c r="N21" s="2"/>
      <c r="O21" s="2"/>
      <c r="P21" s="2"/>
      <c r="Q21" s="2"/>
      <c r="R21" s="2"/>
    </row>
    <row r="22" spans="2:18" x14ac:dyDescent="0.25">
      <c r="M22" s="2"/>
      <c r="N22" s="2"/>
      <c r="O22" s="2"/>
      <c r="P22" s="2"/>
      <c r="Q22" s="2"/>
      <c r="R22" s="2"/>
    </row>
    <row r="23" spans="2:18" x14ac:dyDescent="0.25">
      <c r="M23" s="2"/>
      <c r="N23" s="2"/>
      <c r="O23" s="2"/>
      <c r="P23" s="2"/>
      <c r="Q23" s="2"/>
      <c r="R23" s="2"/>
    </row>
    <row r="24" spans="2:18" x14ac:dyDescent="0.25">
      <c r="M24" s="2"/>
      <c r="N24" s="2"/>
      <c r="O24" s="2"/>
      <c r="P24" s="2"/>
      <c r="Q24" s="2"/>
      <c r="R24" s="2"/>
    </row>
    <row r="25" spans="2:18" x14ac:dyDescent="0.25">
      <c r="M25" s="2"/>
      <c r="N25" s="2"/>
      <c r="O25" s="2"/>
      <c r="P25" s="2"/>
      <c r="Q25" s="2"/>
      <c r="R25" s="2"/>
    </row>
    <row r="26" spans="2:18" x14ac:dyDescent="0.25">
      <c r="M26" s="2"/>
      <c r="N26" s="2"/>
      <c r="O26" s="2"/>
      <c r="P26" s="2"/>
      <c r="Q26" s="2"/>
      <c r="R26" s="2"/>
    </row>
    <row r="27" spans="2:18" x14ac:dyDescent="0.25">
      <c r="M27" s="2"/>
      <c r="N27" s="2"/>
      <c r="O27" s="2"/>
      <c r="P27" s="2"/>
      <c r="Q27" s="2"/>
      <c r="R27" s="2"/>
    </row>
    <row r="28" spans="2:18" x14ac:dyDescent="0.25">
      <c r="M28" s="2"/>
      <c r="N28" s="2"/>
      <c r="O28" s="2"/>
      <c r="P28" s="2"/>
      <c r="Q28" s="2"/>
      <c r="R28" s="2"/>
    </row>
    <row r="29" spans="2:18" x14ac:dyDescent="0.25">
      <c r="M29" s="2"/>
      <c r="N29" s="2"/>
      <c r="O29" s="2"/>
      <c r="P29" s="2"/>
      <c r="Q29" s="2"/>
      <c r="R29" s="2"/>
    </row>
    <row r="30" spans="2:18" x14ac:dyDescent="0.25">
      <c r="M30" s="2"/>
      <c r="N30" s="2"/>
      <c r="O30" s="2"/>
      <c r="P30" s="2"/>
      <c r="Q30" s="2"/>
      <c r="R30" s="2"/>
    </row>
    <row r="31" spans="2:18" x14ac:dyDescent="0.25">
      <c r="B31" s="1"/>
    </row>
    <row r="32" spans="2:18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7DAA5-0AFE-49A1-ABF0-DD70857EA1FD}">
  <dimension ref="B1:G14"/>
  <sheetViews>
    <sheetView showGridLines="0" showRowColHeaders="0" zoomScaleNormal="100" workbookViewId="0">
      <selection activeCell="M29" sqref="M29"/>
    </sheetView>
  </sheetViews>
  <sheetFormatPr defaultRowHeight="15" x14ac:dyDescent="0.25"/>
  <cols>
    <col min="1" max="1" width="5.42578125" style="1" customWidth="1"/>
    <col min="2" max="2" width="18.5703125" style="2" customWidth="1"/>
    <col min="3" max="3" width="4.140625" style="1" customWidth="1"/>
    <col min="4" max="4" width="10.140625" style="1" customWidth="1"/>
    <col min="5" max="5" width="10.28515625" style="1" customWidth="1"/>
    <col min="6" max="6" width="10.140625" style="1" customWidth="1"/>
    <col min="7" max="7" width="18.85546875" style="1" customWidth="1"/>
    <col min="8" max="9" width="10.140625" style="1" customWidth="1"/>
    <col min="10" max="16384" width="9.140625" style="1"/>
  </cols>
  <sheetData>
    <row r="1" spans="2:7" x14ac:dyDescent="0.25">
      <c r="B1" s="1"/>
    </row>
    <row r="7" spans="2:7" x14ac:dyDescent="0.25">
      <c r="D7" s="4" t="s">
        <v>0</v>
      </c>
      <c r="E7" s="1" t="s">
        <v>1</v>
      </c>
      <c r="F7" s="1" t="s">
        <v>2</v>
      </c>
      <c r="G7" s="1" t="s">
        <v>3</v>
      </c>
    </row>
    <row r="8" spans="2:7" x14ac:dyDescent="0.25">
      <c r="D8" s="4">
        <v>100</v>
      </c>
      <c r="E8" s="1" t="s">
        <v>4</v>
      </c>
      <c r="F8" s="3" t="s">
        <v>11</v>
      </c>
      <c r="G8" s="1" t="s">
        <v>18</v>
      </c>
    </row>
    <row r="9" spans="2:7" x14ac:dyDescent="0.25">
      <c r="D9" s="4">
        <v>101</v>
      </c>
      <c r="E9" s="1" t="s">
        <v>8</v>
      </c>
      <c r="F9" s="3" t="s">
        <v>15</v>
      </c>
      <c r="G9" s="1" t="s">
        <v>19</v>
      </c>
    </row>
    <row r="10" spans="2:7" x14ac:dyDescent="0.25">
      <c r="D10" s="4">
        <v>102</v>
      </c>
      <c r="E10" s="1" t="s">
        <v>9</v>
      </c>
      <c r="F10" s="3" t="s">
        <v>16</v>
      </c>
      <c r="G10" s="1" t="s">
        <v>20</v>
      </c>
    </row>
    <row r="11" spans="2:7" x14ac:dyDescent="0.25">
      <c r="D11" s="4">
        <v>103</v>
      </c>
      <c r="E11" s="1" t="s">
        <v>5</v>
      </c>
      <c r="F11" s="3" t="s">
        <v>12</v>
      </c>
      <c r="G11" s="1" t="s">
        <v>21</v>
      </c>
    </row>
    <row r="12" spans="2:7" x14ac:dyDescent="0.25">
      <c r="D12" s="4">
        <v>104</v>
      </c>
      <c r="E12" s="1" t="s">
        <v>6</v>
      </c>
      <c r="F12" s="3" t="s">
        <v>13</v>
      </c>
      <c r="G12" s="1" t="s">
        <v>22</v>
      </c>
    </row>
    <row r="13" spans="2:7" x14ac:dyDescent="0.25">
      <c r="D13" s="4">
        <v>105</v>
      </c>
      <c r="E13" s="1" t="s">
        <v>7</v>
      </c>
      <c r="F13" s="3" t="s">
        <v>17</v>
      </c>
      <c r="G13" s="1" t="s">
        <v>23</v>
      </c>
    </row>
    <row r="14" spans="2:7" x14ac:dyDescent="0.25">
      <c r="D14" s="4">
        <v>106</v>
      </c>
      <c r="E14" s="1" t="s">
        <v>10</v>
      </c>
      <c r="F14" s="3" t="s">
        <v>14</v>
      </c>
      <c r="G14" s="1" t="s">
        <v>24</v>
      </c>
    </row>
  </sheetData>
  <dataValidations count="1">
    <dataValidation type="list" allowBlank="1" showInputMessage="1" showErrorMessage="1" sqref="D8:D14" xr:uid="{CBADA713-9550-4A88-B005-E896628F6186}">
      <formula1>cid</formula1>
    </dataValidation>
  </dataValidations>
  <hyperlinks>
    <hyperlink ref="F14" r:id="rId1" xr:uid="{05FF17EF-521E-41DD-A845-6E428AE9BE99}"/>
    <hyperlink ref="F13" r:id="rId2" xr:uid="{22A437CD-6561-4B83-9DF2-F6A2A355C6FC}"/>
    <hyperlink ref="F12" r:id="rId3" xr:uid="{8EABE8D2-4567-425D-B951-16EC74ADE24C}"/>
    <hyperlink ref="F11" r:id="rId4" xr:uid="{FFEFF3E0-7970-4B84-BCDC-B23FDE644A2E}"/>
    <hyperlink ref="F10" r:id="rId5" xr:uid="{5433002C-C588-46C3-8873-0B5804F2C2D8}"/>
    <hyperlink ref="F9" r:id="rId6" xr:uid="{0B86C223-A7E9-4755-A50E-C6A05DBC61CB}"/>
    <hyperlink ref="F8" r:id="rId7" xr:uid="{20188740-D2C0-4591-A2EB-DC657AF18197}"/>
  </hyperlinks>
  <pageMargins left="0.7" right="0.7" top="0.75" bottom="0.75" header="0.3" footer="0.3"/>
  <drawing r:id="rId8"/>
  <tableParts count="1"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99067-F805-4803-90F8-A9EBDCF36C5E}">
  <dimension ref="B1:H17"/>
  <sheetViews>
    <sheetView showGridLines="0" showRowColHeaders="0" zoomScaleNormal="100" workbookViewId="0"/>
  </sheetViews>
  <sheetFormatPr defaultRowHeight="15" x14ac:dyDescent="0.25"/>
  <cols>
    <col min="1" max="1" width="5.42578125" style="1" customWidth="1"/>
    <col min="2" max="2" width="18.5703125" style="2" customWidth="1"/>
    <col min="3" max="3" width="2.140625" style="1" customWidth="1"/>
    <col min="4" max="4" width="9.140625" style="1"/>
    <col min="5" max="5" width="11" style="1" customWidth="1"/>
    <col min="6" max="6" width="14.85546875" style="1" customWidth="1"/>
    <col min="7" max="7" width="9.140625" style="1"/>
    <col min="8" max="8" width="13.140625" style="1" customWidth="1"/>
    <col min="9" max="16384" width="9.140625" style="1"/>
  </cols>
  <sheetData>
    <row r="1" spans="2:8" x14ac:dyDescent="0.25">
      <c r="B1" s="1"/>
    </row>
    <row r="7" spans="2:8" x14ac:dyDescent="0.25">
      <c r="E7" s="5" t="s">
        <v>25</v>
      </c>
      <c r="F7" s="5" t="s">
        <v>26</v>
      </c>
      <c r="G7" s="5" t="s">
        <v>27</v>
      </c>
      <c r="H7" s="5" t="s">
        <v>28</v>
      </c>
    </row>
    <row r="8" spans="2:8" x14ac:dyDescent="0.25">
      <c r="E8" s="6" t="s">
        <v>29</v>
      </c>
      <c r="F8" s="6" t="s">
        <v>43</v>
      </c>
      <c r="G8" s="6">
        <v>980</v>
      </c>
      <c r="H8" s="6">
        <v>1176</v>
      </c>
    </row>
    <row r="9" spans="2:8" x14ac:dyDescent="0.25">
      <c r="E9" s="6" t="s">
        <v>30</v>
      </c>
      <c r="F9" s="6" t="s">
        <v>44</v>
      </c>
      <c r="G9" s="6">
        <v>34500</v>
      </c>
      <c r="H9" s="6">
        <v>41400</v>
      </c>
    </row>
    <row r="10" spans="2:8" x14ac:dyDescent="0.25">
      <c r="E10" s="6" t="s">
        <v>31</v>
      </c>
      <c r="F10" s="6" t="s">
        <v>45</v>
      </c>
      <c r="G10" s="6">
        <v>4600</v>
      </c>
      <c r="H10" s="6">
        <v>5520</v>
      </c>
    </row>
    <row r="11" spans="2:8" x14ac:dyDescent="0.25">
      <c r="E11" s="6" t="s">
        <v>32</v>
      </c>
      <c r="F11" s="6" t="s">
        <v>33</v>
      </c>
      <c r="G11" s="6">
        <v>21000</v>
      </c>
      <c r="H11" s="6">
        <v>25200</v>
      </c>
    </row>
    <row r="12" spans="2:8" x14ac:dyDescent="0.25">
      <c r="E12" s="6" t="s">
        <v>34</v>
      </c>
      <c r="F12" s="6" t="s">
        <v>35</v>
      </c>
      <c r="G12" s="6">
        <v>200</v>
      </c>
      <c r="H12" s="6">
        <v>240</v>
      </c>
    </row>
    <row r="13" spans="2:8" x14ac:dyDescent="0.25">
      <c r="E13" s="6" t="s">
        <v>36</v>
      </c>
      <c r="F13" s="6" t="s">
        <v>46</v>
      </c>
      <c r="G13" s="6">
        <v>340</v>
      </c>
      <c r="H13" s="6">
        <v>408</v>
      </c>
    </row>
    <row r="14" spans="2:8" x14ac:dyDescent="0.25">
      <c r="E14" s="6" t="s">
        <v>37</v>
      </c>
      <c r="F14" s="6" t="s">
        <v>38</v>
      </c>
      <c r="G14" s="6">
        <v>52000</v>
      </c>
      <c r="H14" s="6">
        <v>62400</v>
      </c>
    </row>
    <row r="15" spans="2:8" x14ac:dyDescent="0.25">
      <c r="E15" s="6" t="s">
        <v>39</v>
      </c>
      <c r="F15" s="6" t="s">
        <v>47</v>
      </c>
      <c r="G15" s="6">
        <v>799</v>
      </c>
      <c r="H15" s="6">
        <v>958</v>
      </c>
    </row>
    <row r="16" spans="2:8" x14ac:dyDescent="0.25">
      <c r="E16" s="6" t="s">
        <v>40</v>
      </c>
      <c r="F16" s="6" t="s">
        <v>48</v>
      </c>
      <c r="G16" s="6">
        <v>870</v>
      </c>
      <c r="H16" s="6">
        <v>804</v>
      </c>
    </row>
    <row r="17" spans="5:8" x14ac:dyDescent="0.25">
      <c r="E17" s="6" t="s">
        <v>41</v>
      </c>
      <c r="F17" s="6" t="s">
        <v>42</v>
      </c>
      <c r="G17" s="6">
        <v>23500</v>
      </c>
      <c r="H17" s="6">
        <v>28200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32F77-7389-4401-B73F-3C9005B01CA5}">
  <dimension ref="B1:I17"/>
  <sheetViews>
    <sheetView showGridLines="0" showRowColHeaders="0" zoomScaleNormal="100" workbookViewId="0"/>
  </sheetViews>
  <sheetFormatPr defaultRowHeight="15" x14ac:dyDescent="0.25"/>
  <cols>
    <col min="1" max="1" width="5.42578125" style="1" customWidth="1"/>
    <col min="2" max="2" width="18.5703125" style="2" customWidth="1"/>
    <col min="3" max="3" width="4.5703125" style="1" customWidth="1"/>
    <col min="4" max="4" width="9.140625" style="1"/>
    <col min="5" max="5" width="11.5703125" style="1" customWidth="1"/>
    <col min="6" max="6" width="14.85546875" style="1" customWidth="1"/>
    <col min="7" max="7" width="12.28515625" style="1" customWidth="1"/>
    <col min="8" max="8" width="12.28515625" style="1" bestFit="1" customWidth="1"/>
    <col min="9" max="9" width="16.42578125" style="1" customWidth="1"/>
    <col min="10" max="16384" width="9.140625" style="1"/>
  </cols>
  <sheetData>
    <row r="1" spans="2:9" x14ac:dyDescent="0.25">
      <c r="B1" s="1"/>
    </row>
    <row r="7" spans="2:9" ht="30" x14ac:dyDescent="0.25">
      <c r="E7" s="5" t="s">
        <v>25</v>
      </c>
      <c r="F7" s="5" t="s">
        <v>26</v>
      </c>
      <c r="G7" s="5" t="s">
        <v>49</v>
      </c>
      <c r="H7" s="5" t="s">
        <v>50</v>
      </c>
      <c r="I7" s="5" t="s">
        <v>3</v>
      </c>
    </row>
    <row r="8" spans="2:9" x14ac:dyDescent="0.25">
      <c r="E8" s="6" t="s">
        <v>29</v>
      </c>
      <c r="F8" s="6" t="s">
        <v>43</v>
      </c>
      <c r="G8" s="6" t="s">
        <v>51</v>
      </c>
      <c r="H8" s="6">
        <v>9874561231</v>
      </c>
      <c r="I8" s="6" t="s">
        <v>52</v>
      </c>
    </row>
    <row r="9" spans="2:9" x14ac:dyDescent="0.25">
      <c r="E9" s="6" t="s">
        <v>30</v>
      </c>
      <c r="F9" s="6" t="s">
        <v>44</v>
      </c>
      <c r="G9" s="6" t="s">
        <v>53</v>
      </c>
      <c r="H9" s="6">
        <v>9874561231</v>
      </c>
      <c r="I9" s="6" t="s">
        <v>52</v>
      </c>
    </row>
    <row r="10" spans="2:9" x14ac:dyDescent="0.25">
      <c r="E10" s="6" t="s">
        <v>31</v>
      </c>
      <c r="F10" s="6" t="s">
        <v>45</v>
      </c>
      <c r="G10" s="6" t="s">
        <v>54</v>
      </c>
      <c r="H10" s="6">
        <v>9874561231</v>
      </c>
      <c r="I10" s="6" t="s">
        <v>52</v>
      </c>
    </row>
    <row r="11" spans="2:9" x14ac:dyDescent="0.25">
      <c r="E11" s="6" t="s">
        <v>32</v>
      </c>
      <c r="F11" s="6" t="s">
        <v>33</v>
      </c>
      <c r="G11" s="6" t="s">
        <v>55</v>
      </c>
      <c r="H11" s="6">
        <v>9874561231</v>
      </c>
      <c r="I11" s="6" t="s">
        <v>62</v>
      </c>
    </row>
    <row r="12" spans="2:9" x14ac:dyDescent="0.25">
      <c r="E12" s="6" t="s">
        <v>34</v>
      </c>
      <c r="F12" s="6" t="s">
        <v>35</v>
      </c>
      <c r="G12" s="6" t="s">
        <v>56</v>
      </c>
      <c r="H12" s="6">
        <v>9874561231</v>
      </c>
      <c r="I12" s="6" t="s">
        <v>62</v>
      </c>
    </row>
    <row r="13" spans="2:9" x14ac:dyDescent="0.25">
      <c r="E13" s="6" t="s">
        <v>36</v>
      </c>
      <c r="F13" s="6" t="s">
        <v>46</v>
      </c>
      <c r="G13" s="6" t="s">
        <v>57</v>
      </c>
      <c r="H13" s="6">
        <v>9874561231</v>
      </c>
      <c r="I13" s="6" t="s">
        <v>62</v>
      </c>
    </row>
    <row r="14" spans="2:9" x14ac:dyDescent="0.25">
      <c r="E14" s="6" t="s">
        <v>37</v>
      </c>
      <c r="F14" s="6" t="s">
        <v>38</v>
      </c>
      <c r="G14" s="6" t="s">
        <v>58</v>
      </c>
      <c r="H14" s="6">
        <v>9874561231</v>
      </c>
      <c r="I14" s="6" t="s">
        <v>63</v>
      </c>
    </row>
    <row r="15" spans="2:9" x14ac:dyDescent="0.25">
      <c r="E15" s="6" t="s">
        <v>39</v>
      </c>
      <c r="F15" s="6" t="s">
        <v>47</v>
      </c>
      <c r="G15" s="6" t="s">
        <v>59</v>
      </c>
      <c r="H15" s="6">
        <v>9874561231</v>
      </c>
      <c r="I15" s="6" t="s">
        <v>63</v>
      </c>
    </row>
    <row r="16" spans="2:9" x14ac:dyDescent="0.25">
      <c r="E16" s="6" t="s">
        <v>40</v>
      </c>
      <c r="F16" s="6" t="s">
        <v>48</v>
      </c>
      <c r="G16" s="6" t="s">
        <v>60</v>
      </c>
      <c r="H16" s="6">
        <v>9874561231</v>
      </c>
      <c r="I16" s="6" t="s">
        <v>63</v>
      </c>
    </row>
    <row r="17" spans="5:9" x14ac:dyDescent="0.25">
      <c r="E17" s="6" t="s">
        <v>41</v>
      </c>
      <c r="F17" s="6" t="s">
        <v>42</v>
      </c>
      <c r="G17" s="6" t="s">
        <v>61</v>
      </c>
      <c r="H17" s="6">
        <v>9874561231</v>
      </c>
      <c r="I17" s="6" t="s">
        <v>63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73630-FB25-4B6F-8BB9-D68E5CA2B262}">
  <dimension ref="B1:F11"/>
  <sheetViews>
    <sheetView showGridLines="0" showRowColHeaders="0" workbookViewId="0"/>
  </sheetViews>
  <sheetFormatPr defaultRowHeight="15" x14ac:dyDescent="0.25"/>
  <cols>
    <col min="1" max="1" width="5.42578125" style="1" customWidth="1"/>
    <col min="2" max="2" width="18.5703125" style="2" customWidth="1"/>
    <col min="3" max="3" width="2.140625" style="1" customWidth="1"/>
    <col min="4" max="5" width="9.140625" style="1"/>
    <col min="6" max="6" width="16.7109375" style="1" customWidth="1"/>
    <col min="7" max="16384" width="9.140625" style="1"/>
  </cols>
  <sheetData>
    <row r="1" spans="2:6" x14ac:dyDescent="0.25">
      <c r="B1" s="1"/>
    </row>
    <row r="8" spans="2:6" x14ac:dyDescent="0.25">
      <c r="F8" s="3" t="s">
        <v>64</v>
      </c>
    </row>
    <row r="11" spans="2:6" x14ac:dyDescent="0.25">
      <c r="F11" s="3" t="s">
        <v>65</v>
      </c>
    </row>
  </sheetData>
  <hyperlinks>
    <hyperlink ref="F8" location="'Purchase '!A1" display="Purchase Entry" xr:uid="{43171441-5817-4FD3-9E1F-8F504F7C0088}"/>
    <hyperlink ref="F11" location="Sales!A1" display="Sale entry" xr:uid="{CFA770A9-E6FF-4296-80D5-CAA93DB3F62E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A65AC-EB0F-47E3-9633-0DB3A866725A}">
  <dimension ref="B1:J17"/>
  <sheetViews>
    <sheetView showGridLines="0" showRowColHeaders="0" workbookViewId="0">
      <pane xSplit="3" ySplit="7" topLeftCell="D8" activePane="bottomRight" state="frozen"/>
      <selection activeCell="E37" sqref="E37"/>
      <selection pane="topRight" activeCell="E37" sqref="E37"/>
      <selection pane="bottomLeft" activeCell="E37" sqref="E37"/>
      <selection pane="bottomRight" activeCell="J24" sqref="J24"/>
    </sheetView>
  </sheetViews>
  <sheetFormatPr defaultRowHeight="15" x14ac:dyDescent="0.25"/>
  <cols>
    <col min="1" max="1" width="5.42578125" style="1" customWidth="1"/>
    <col min="2" max="2" width="18.5703125" style="2" customWidth="1"/>
    <col min="3" max="3" width="9.140625" style="1"/>
    <col min="4" max="4" width="14.28515625" style="1" customWidth="1"/>
    <col min="5" max="5" width="15.7109375" style="1" customWidth="1"/>
    <col min="6" max="6" width="9.7109375" style="1" customWidth="1"/>
    <col min="7" max="7" width="10.42578125" style="1" bestFit="1" customWidth="1"/>
    <col min="8" max="9" width="9.140625" style="1"/>
    <col min="10" max="10" width="10.28515625" style="1" customWidth="1"/>
    <col min="11" max="16384" width="9.140625" style="1"/>
  </cols>
  <sheetData>
    <row r="1" spans="2:10" x14ac:dyDescent="0.25">
      <c r="B1" s="1"/>
    </row>
    <row r="7" spans="2:10" x14ac:dyDescent="0.25">
      <c r="D7" s="1" t="s">
        <v>25</v>
      </c>
      <c r="E7" s="1" t="s">
        <v>26</v>
      </c>
      <c r="F7" s="1" t="s">
        <v>66</v>
      </c>
      <c r="G7" s="1" t="s">
        <v>67</v>
      </c>
      <c r="H7" s="1" t="s">
        <v>68</v>
      </c>
      <c r="I7" s="1" t="s">
        <v>27</v>
      </c>
      <c r="J7" s="1" t="s">
        <v>69</v>
      </c>
    </row>
    <row r="8" spans="2:10" x14ac:dyDescent="0.25">
      <c r="D8" s="1" t="s">
        <v>39</v>
      </c>
      <c r="E8" s="1" t="str">
        <f>IFERROR(VLOOKUP(PurchaseData[[#This Row],[HSN Code]],Table4[#All],2,0),"")</f>
        <v>Headphone</v>
      </c>
      <c r="F8" s="1" t="str">
        <f>IFERROR(VLOOKUP(PurchaseData[[#This Row],[HSN Code]],Table46[#All],3,0),"")</f>
        <v>Tech08</v>
      </c>
      <c r="G8" s="8">
        <v>37987</v>
      </c>
      <c r="H8" s="1">
        <v>3</v>
      </c>
      <c r="I8" s="1">
        <f>IFERROR(VLOOKUP(PurchaseData[[#This Row],[HSN Code]],Table4[#All],3,0),"")</f>
        <v>799</v>
      </c>
      <c r="J8" s="1">
        <f>IFERROR(PurchaseData[[#This Row],[Units]]*PurchaseData[[#This Row],[Cost]],"")</f>
        <v>2397</v>
      </c>
    </row>
    <row r="9" spans="2:10" x14ac:dyDescent="0.25">
      <c r="D9" s="1" t="s">
        <v>39</v>
      </c>
      <c r="E9" s="1" t="str">
        <f>IFERROR(VLOOKUP(PurchaseData[[#This Row],[HSN Code]],Table4[#All],2,0),"")</f>
        <v>Headphone</v>
      </c>
      <c r="F9" s="1" t="str">
        <f>IFERROR(VLOOKUP(PurchaseData[[#This Row],[HSN Code]],Table46[#All],3,0),"")</f>
        <v>Tech08</v>
      </c>
      <c r="G9" s="8">
        <v>37987</v>
      </c>
      <c r="H9" s="1">
        <v>4</v>
      </c>
      <c r="I9" s="1">
        <f>IFERROR(VLOOKUP(PurchaseData[[#This Row],[HSN Code]],Table4[#All],3,0),"")</f>
        <v>799</v>
      </c>
      <c r="J9" s="1">
        <f>IFERROR(PurchaseData[[#This Row],[Units]]*PurchaseData[[#This Row],[Cost]],"")</f>
        <v>3196</v>
      </c>
    </row>
    <row r="10" spans="2:10" x14ac:dyDescent="0.25">
      <c r="D10" s="1" t="s">
        <v>34</v>
      </c>
      <c r="E10" s="1" t="str">
        <f>IFERROR(VLOOKUP(PurchaseData[[#This Row],[HSN Code]],Table4[#All],2,0),"")</f>
        <v>Mouse</v>
      </c>
      <c r="F10" s="1" t="str">
        <f>IFERROR(VLOOKUP(PurchaseData[[#This Row],[HSN Code]],Table46[#All],3,0),"")</f>
        <v>Tech05</v>
      </c>
      <c r="G10" s="8">
        <v>37987</v>
      </c>
      <c r="H10" s="1">
        <v>6</v>
      </c>
      <c r="I10" s="1">
        <f>IFERROR(VLOOKUP(PurchaseData[[#This Row],[HSN Code]],Table4[#All],3,0),"")</f>
        <v>200</v>
      </c>
      <c r="J10" s="1">
        <f>IFERROR(PurchaseData[[#This Row],[Units]]*PurchaseData[[#This Row],[Cost]],"")</f>
        <v>1200</v>
      </c>
    </row>
    <row r="11" spans="2:10" x14ac:dyDescent="0.25">
      <c r="D11" s="1" t="s">
        <v>29</v>
      </c>
      <c r="E11" s="1" t="str">
        <f>IFERROR(VLOOKUP(PurchaseData[[#This Row],[HSN Code]],Table4[#All],2,0),"")</f>
        <v>SmartWatch</v>
      </c>
      <c r="F11" s="1" t="str">
        <f>IFERROR(VLOOKUP(PurchaseData[[#This Row],[HSN Code]],Table46[#All],3,0),"")</f>
        <v>Tech01</v>
      </c>
      <c r="G11" s="8">
        <v>37987</v>
      </c>
      <c r="H11" s="1">
        <v>6</v>
      </c>
      <c r="I11" s="1">
        <f>IFERROR(VLOOKUP(PurchaseData[[#This Row],[HSN Code]],Table4[#All],3,0),"")</f>
        <v>980</v>
      </c>
      <c r="J11" s="1">
        <f>IFERROR(PurchaseData[[#This Row],[Units]]*PurchaseData[[#This Row],[Cost]],"")</f>
        <v>5880</v>
      </c>
    </row>
    <row r="12" spans="2:10" x14ac:dyDescent="0.25">
      <c r="D12" s="1" t="s">
        <v>30</v>
      </c>
      <c r="E12" s="1" t="str">
        <f>IFERROR(VLOOKUP(PurchaseData[[#This Row],[HSN Code]],Table4[#All],2,0),"")</f>
        <v>Laptop HP  i5</v>
      </c>
      <c r="F12" s="1" t="str">
        <f>IFERROR(VLOOKUP(PurchaseData[[#This Row],[HSN Code]],Table46[#All],3,0),"")</f>
        <v>Tech02</v>
      </c>
      <c r="G12" s="8">
        <v>37987</v>
      </c>
      <c r="H12" s="1">
        <v>3</v>
      </c>
      <c r="I12" s="1">
        <f>IFERROR(VLOOKUP(PurchaseData[[#This Row],[HSN Code]],Table4[#All],3,0),"")</f>
        <v>34500</v>
      </c>
      <c r="J12" s="1">
        <f>IFERROR(PurchaseData[[#This Row],[Units]]*PurchaseData[[#This Row],[Cost]],"")</f>
        <v>103500</v>
      </c>
    </row>
    <row r="13" spans="2:10" x14ac:dyDescent="0.25">
      <c r="D13" s="1" t="s">
        <v>31</v>
      </c>
      <c r="E13" s="1" t="str">
        <f>IFERROR(VLOOKUP(PurchaseData[[#This Row],[HSN Code]],Table4[#All],2,0),"")</f>
        <v>Printer</v>
      </c>
      <c r="F13" s="1" t="str">
        <f>IFERROR(VLOOKUP(PurchaseData[[#This Row],[HSN Code]],Table46[#All],3,0),"")</f>
        <v>Tech03</v>
      </c>
      <c r="G13" s="8">
        <v>37987</v>
      </c>
      <c r="H13" s="1">
        <v>3</v>
      </c>
      <c r="I13" s="1">
        <f>IFERROR(VLOOKUP(PurchaseData[[#This Row],[HSN Code]],Table4[#All],3,0),"")</f>
        <v>4600</v>
      </c>
      <c r="J13" s="1">
        <f>IFERROR(PurchaseData[[#This Row],[Units]]*PurchaseData[[#This Row],[Cost]],"")</f>
        <v>13800</v>
      </c>
    </row>
    <row r="14" spans="2:10" x14ac:dyDescent="0.25">
      <c r="D14" s="1" t="s">
        <v>32</v>
      </c>
      <c r="E14" s="1" t="str">
        <f>IFERROR(VLOOKUP(PurchaseData[[#This Row],[HSN Code]],Table4[#All],2,0),"")</f>
        <v>Desktop</v>
      </c>
      <c r="F14" s="1" t="str">
        <f>IFERROR(VLOOKUP(PurchaseData[[#This Row],[HSN Code]],Table46[#All],3,0),"")</f>
        <v>Tech04</v>
      </c>
      <c r="G14" s="8">
        <v>37987</v>
      </c>
      <c r="H14" s="1">
        <v>2</v>
      </c>
      <c r="I14" s="1">
        <f>IFERROR(VLOOKUP(PurchaseData[[#This Row],[HSN Code]],Table4[#All],3,0),"")</f>
        <v>21000</v>
      </c>
      <c r="J14" s="1">
        <f>IFERROR(PurchaseData[[#This Row],[Units]]*PurchaseData[[#This Row],[Cost]],"")</f>
        <v>42000</v>
      </c>
    </row>
    <row r="15" spans="2:10" x14ac:dyDescent="0.25">
      <c r="D15" s="1" t="s">
        <v>40</v>
      </c>
      <c r="E15" s="1" t="str">
        <f>IFERROR(VLOOKUP(PurchaseData[[#This Row],[HSN Code]],Table4[#All],2,0),"")</f>
        <v>Speaker</v>
      </c>
      <c r="F15" s="1" t="str">
        <f>IFERROR(VLOOKUP(PurchaseData[[#This Row],[HSN Code]],Table46[#All],3,0),"")</f>
        <v>Tech09</v>
      </c>
      <c r="G15" s="8">
        <v>37987</v>
      </c>
      <c r="H15" s="1">
        <v>2</v>
      </c>
      <c r="I15" s="1">
        <f>IFERROR(VLOOKUP(PurchaseData[[#This Row],[HSN Code]],Table4[#All],3,0),"")</f>
        <v>870</v>
      </c>
      <c r="J15" s="1">
        <f>IFERROR(PurchaseData[[#This Row],[Units]]*PurchaseData[[#This Row],[Cost]],"")</f>
        <v>1740</v>
      </c>
    </row>
    <row r="16" spans="2:10" x14ac:dyDescent="0.25">
      <c r="D16" s="1" t="s">
        <v>32</v>
      </c>
      <c r="E16" s="7" t="str">
        <f>IFERROR(VLOOKUP(PurchaseData[[#This Row],[HSN Code]],Table4[#All],2,0),"")</f>
        <v>Desktop</v>
      </c>
      <c r="F16" s="7" t="str">
        <f>IFERROR(VLOOKUP(PurchaseData[[#This Row],[HSN Code]],Table46[#All],3,0),"")</f>
        <v>Tech04</v>
      </c>
      <c r="G16" s="8">
        <v>37987</v>
      </c>
      <c r="H16" s="1">
        <v>6</v>
      </c>
      <c r="I16" s="7">
        <f>IFERROR(VLOOKUP(PurchaseData[[#This Row],[HSN Code]],Table4[#All],3,0),"")</f>
        <v>21000</v>
      </c>
      <c r="J16" s="7">
        <f>IFERROR(PurchaseData[[#This Row],[Units]]*PurchaseData[[#This Row],[Cost]],"")</f>
        <v>126000</v>
      </c>
    </row>
    <row r="17" spans="4:10" x14ac:dyDescent="0.25">
      <c r="D17" s="1" t="s">
        <v>32</v>
      </c>
      <c r="E17" s="7" t="str">
        <f>IFERROR(VLOOKUP(PurchaseData[[#This Row],[HSN Code]],Table4[#All],2,0),"")</f>
        <v>Desktop</v>
      </c>
      <c r="F17" s="7" t="str">
        <f>IFERROR(VLOOKUP(PurchaseData[[#This Row],[HSN Code]],Table46[#All],3,0),"")</f>
        <v>Tech04</v>
      </c>
      <c r="G17" s="8">
        <v>37987</v>
      </c>
      <c r="H17" s="1">
        <v>8</v>
      </c>
      <c r="I17" s="7">
        <f>IFERROR(VLOOKUP(PurchaseData[[#This Row],[HSN Code]],Table4[#All],3,0),"")</f>
        <v>21000</v>
      </c>
      <c r="J17" s="7">
        <f>IFERROR(PurchaseData[[#This Row],[Units]]*PurchaseData[[#This Row],[Cost]],"")</f>
        <v>168000</v>
      </c>
    </row>
  </sheetData>
  <dataValidations count="1">
    <dataValidation type="list" allowBlank="1" showInputMessage="1" showErrorMessage="1" sqref="D8:D17" xr:uid="{B87B9975-A788-46B0-9AC0-D50E94B795C0}">
      <formula1>hsncode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E5E04-B65B-4141-96B8-A8FAFDF255E6}">
  <dimension ref="B1:M18"/>
  <sheetViews>
    <sheetView showGridLines="0" showRowColHeaders="0" workbookViewId="0">
      <selection activeCell="E8" sqref="E8"/>
    </sheetView>
  </sheetViews>
  <sheetFormatPr defaultRowHeight="15" x14ac:dyDescent="0.25"/>
  <cols>
    <col min="1" max="1" width="5.42578125" style="1" customWidth="1"/>
    <col min="2" max="2" width="18.5703125" style="2" customWidth="1"/>
    <col min="3" max="3" width="2" style="1" customWidth="1"/>
    <col min="4" max="4" width="9.140625" style="1"/>
    <col min="5" max="5" width="9.85546875" style="1" customWidth="1"/>
    <col min="6" max="6" width="13.42578125" style="1" customWidth="1"/>
    <col min="7" max="7" width="12" style="1" customWidth="1"/>
    <col min="8" max="8" width="15.7109375" style="1" customWidth="1"/>
    <col min="9" max="9" width="11.42578125" style="1" customWidth="1"/>
    <col min="10" max="10" width="14" style="1" customWidth="1"/>
    <col min="11" max="12" width="9.140625" style="1"/>
    <col min="13" max="13" width="10.85546875" style="1" customWidth="1"/>
    <col min="14" max="16384" width="9.140625" style="1"/>
  </cols>
  <sheetData>
    <row r="1" spans="2:13" x14ac:dyDescent="0.25">
      <c r="B1" s="1"/>
    </row>
    <row r="8" spans="2:13" x14ac:dyDescent="0.25">
      <c r="E8" s="1" t="s">
        <v>0</v>
      </c>
      <c r="F8" s="1" t="s">
        <v>70</v>
      </c>
      <c r="G8" s="1" t="s">
        <v>25</v>
      </c>
      <c r="H8" s="1" t="s">
        <v>26</v>
      </c>
      <c r="I8" s="1" t="s">
        <v>67</v>
      </c>
      <c r="J8" s="1" t="s">
        <v>71</v>
      </c>
      <c r="K8" s="1" t="s">
        <v>68</v>
      </c>
      <c r="L8" s="1" t="s">
        <v>72</v>
      </c>
      <c r="M8" s="1" t="s">
        <v>73</v>
      </c>
    </row>
    <row r="9" spans="2:13" x14ac:dyDescent="0.25">
      <c r="E9" s="1">
        <v>103</v>
      </c>
      <c r="F9" s="1" t="str">
        <f>IFERROR(VLOOKUP(Table7[[#This Row],[Cust_ID]],CustomersData[#All],2,0),"")</f>
        <v>Raghav</v>
      </c>
      <c r="G9" s="1" t="s">
        <v>32</v>
      </c>
      <c r="H9" s="1" t="str">
        <f>IFERROR(VLOOKUP(Table7[[#This Row],[HSN Code]],Table4[#All],2,0),"")</f>
        <v>Desktop</v>
      </c>
      <c r="I9" s="8">
        <v>46023</v>
      </c>
      <c r="J9" s="1">
        <f>IFERROR(VLOOKUP(Table7[[#This Row],[HSN Code]],Table8[#All],6,0),"")</f>
        <v>12</v>
      </c>
      <c r="K9" s="1">
        <v>4</v>
      </c>
      <c r="L9" s="1">
        <f>IFERROR(VLOOKUP(Table7[[#This Row],[HSN Code]],Table4[#All],4,0),"")</f>
        <v>25200</v>
      </c>
      <c r="M9" s="1">
        <f>IFERROR(Table7[[#This Row],[Units]]*Table7[[#This Row],[Price]],"")</f>
        <v>100800</v>
      </c>
    </row>
    <row r="10" spans="2:13" x14ac:dyDescent="0.25">
      <c r="E10" s="1">
        <v>104</v>
      </c>
      <c r="F10" s="1" t="str">
        <f>IFERROR(VLOOKUP(Table7[[#This Row],[Cust_ID]],CustomersData[#All],2,0),"")</f>
        <v>Amit</v>
      </c>
      <c r="G10" s="1" t="s">
        <v>34</v>
      </c>
      <c r="H10" s="1" t="str">
        <f>IFERROR(VLOOKUP(Table7[[#This Row],[HSN Code]],Table4[#All],2,0),"")</f>
        <v>Mouse</v>
      </c>
      <c r="I10" s="8">
        <v>46023</v>
      </c>
      <c r="J10" s="1">
        <f>IFERROR(VLOOKUP(Table7[[#This Row],[HSN Code]],Table8[#All],6,0),"")</f>
        <v>0</v>
      </c>
      <c r="K10" s="1">
        <v>6</v>
      </c>
      <c r="L10" s="1">
        <f>IFERROR(VLOOKUP(Table7[[#This Row],[HSN Code]],Table4[#All],4,0),"")</f>
        <v>240</v>
      </c>
      <c r="M10" s="1">
        <f>IFERROR(Table7[[#This Row],[Units]]*Table7[[#This Row],[Price]],"")</f>
        <v>1440</v>
      </c>
    </row>
    <row r="11" spans="2:13" x14ac:dyDescent="0.25">
      <c r="E11" s="1">
        <v>104</v>
      </c>
      <c r="F11" s="1" t="str">
        <f>IFERROR(VLOOKUP(Table7[[#This Row],[Cust_ID]],CustomersData[#All],2,0),"")</f>
        <v>Amit</v>
      </c>
      <c r="G11" s="1" t="s">
        <v>36</v>
      </c>
      <c r="H11" s="1" t="str">
        <f>IFERROR(VLOOKUP(Table7[[#This Row],[HSN Code]],Table4[#All],2,0),"")</f>
        <v>Keyboard</v>
      </c>
      <c r="I11" s="8">
        <v>46023</v>
      </c>
      <c r="J11" s="1">
        <f>IFERROR(VLOOKUP(Table7[[#This Row],[HSN Code]],Table8[#All],6,0),"")</f>
        <v>-2</v>
      </c>
      <c r="K11" s="1">
        <v>2</v>
      </c>
      <c r="L11" s="1">
        <f>IFERROR(VLOOKUP(Table7[[#This Row],[HSN Code]],Table4[#All],4,0),"")</f>
        <v>408</v>
      </c>
      <c r="M11" s="1">
        <f>IFERROR(Table7[[#This Row],[Units]]*Table7[[#This Row],[Price]],"")</f>
        <v>816</v>
      </c>
    </row>
    <row r="12" spans="2:13" x14ac:dyDescent="0.25">
      <c r="E12" s="1">
        <v>106</v>
      </c>
      <c r="F12" s="1" t="str">
        <f>IFERROR(VLOOKUP(Table7[[#This Row],[Cust_ID]],CustomersData[#All],2,0),"")</f>
        <v>Relaince</v>
      </c>
      <c r="G12" s="1" t="s">
        <v>37</v>
      </c>
      <c r="H12" s="1" t="str">
        <f>IFERROR(VLOOKUP(Table7[[#This Row],[HSN Code]],Table4[#All],2,0),"")</f>
        <v>Camera</v>
      </c>
      <c r="I12" s="8">
        <v>46023</v>
      </c>
      <c r="J12" s="1">
        <f>IFERROR(VLOOKUP(Table7[[#This Row],[HSN Code]],Table8[#All],6,0),"")</f>
        <v>-5</v>
      </c>
      <c r="K12" s="1">
        <v>5</v>
      </c>
      <c r="L12" s="1">
        <f>IFERROR(VLOOKUP(Table7[[#This Row],[HSN Code]],Table4[#All],4,0),"")</f>
        <v>62400</v>
      </c>
      <c r="M12" s="1">
        <f>IFERROR(Table7[[#This Row],[Units]]*Table7[[#This Row],[Price]],"")</f>
        <v>312000</v>
      </c>
    </row>
    <row r="13" spans="2:13" x14ac:dyDescent="0.25">
      <c r="E13" s="1">
        <v>100</v>
      </c>
      <c r="F13" s="1" t="str">
        <f>IFERROR(VLOOKUP(Table7[[#This Row],[Cust_ID]],CustomersData[#All],2,0),"")</f>
        <v>Harsh</v>
      </c>
      <c r="G13" s="1" t="s">
        <v>39</v>
      </c>
      <c r="H13" s="1" t="str">
        <f>IFERROR(VLOOKUP(Table7[[#This Row],[HSN Code]],Table4[#All],2,0),"")</f>
        <v>Headphone</v>
      </c>
      <c r="I13" s="8">
        <v>46023</v>
      </c>
      <c r="J13" s="1">
        <f>IFERROR(VLOOKUP(Table7[[#This Row],[HSN Code]],Table8[#All],6,0),"")</f>
        <v>5</v>
      </c>
      <c r="K13" s="1">
        <v>2</v>
      </c>
      <c r="L13" s="1">
        <f>IFERROR(VLOOKUP(Table7[[#This Row],[HSN Code]],Table4[#All],4,0),"")</f>
        <v>958</v>
      </c>
      <c r="M13" s="1">
        <f>IFERROR(Table7[[#This Row],[Units]]*Table7[[#This Row],[Price]],"")</f>
        <v>1916</v>
      </c>
    </row>
    <row r="14" spans="2:13" x14ac:dyDescent="0.25">
      <c r="E14" s="1">
        <v>101</v>
      </c>
      <c r="F14" s="1" t="str">
        <f>IFERROR(VLOOKUP(Table7[[#This Row],[Cust_ID]],CustomersData[#All],2,0),"")</f>
        <v>Ram Sales</v>
      </c>
      <c r="G14" s="1" t="s">
        <v>40</v>
      </c>
      <c r="H14" s="1" t="str">
        <f>IFERROR(VLOOKUP(Table7[[#This Row],[HSN Code]],Table4[#All],2,0),"")</f>
        <v>Speaker</v>
      </c>
      <c r="I14" s="8">
        <v>46023</v>
      </c>
      <c r="J14" s="1">
        <f>IFERROR(VLOOKUP(Table7[[#This Row],[HSN Code]],Table8[#All],6,0),"")</f>
        <v>-7</v>
      </c>
      <c r="K14" s="1">
        <v>6</v>
      </c>
      <c r="L14" s="1">
        <f>IFERROR(VLOOKUP(Table7[[#This Row],[HSN Code]],Table4[#All],4,0),"")</f>
        <v>804</v>
      </c>
      <c r="M14" s="1">
        <f>IFERROR(Table7[[#This Row],[Units]]*Table7[[#This Row],[Price]],"")</f>
        <v>4824</v>
      </c>
    </row>
    <row r="15" spans="2:13" x14ac:dyDescent="0.25">
      <c r="E15" s="1">
        <v>103</v>
      </c>
      <c r="F15" s="1" t="str">
        <f>IFERROR(VLOOKUP(Table7[[#This Row],[Cust_ID]],CustomersData[#All],2,0),"")</f>
        <v>Raghav</v>
      </c>
      <c r="G15" s="1" t="s">
        <v>40</v>
      </c>
      <c r="H15" s="1" t="str">
        <f>IFERROR(VLOOKUP(Table7[[#This Row],[HSN Code]],Table4[#All],2,0),"")</f>
        <v>Speaker</v>
      </c>
      <c r="I15" s="8">
        <v>46023</v>
      </c>
      <c r="J15" s="1">
        <f>IFERROR(VLOOKUP(Table7[[#This Row],[HSN Code]],Table8[#All],6,0),"")</f>
        <v>-7</v>
      </c>
      <c r="K15" s="1">
        <v>3</v>
      </c>
      <c r="L15" s="1">
        <f>IFERROR(VLOOKUP(Table7[[#This Row],[HSN Code]],Table4[#All],4,0),"")</f>
        <v>804</v>
      </c>
      <c r="M15" s="1">
        <f>IFERROR(Table7[[#This Row],[Units]]*Table7[[#This Row],[Price]],"")</f>
        <v>2412</v>
      </c>
    </row>
    <row r="16" spans="2:13" x14ac:dyDescent="0.25">
      <c r="E16" s="1">
        <v>102</v>
      </c>
      <c r="F16" s="1" t="str">
        <f>IFERROR(VLOOKUP(Table7[[#This Row],[Cust_ID]],CustomersData[#All],2,0),"")</f>
        <v>Atul Ltd.</v>
      </c>
      <c r="G16" s="1" t="s">
        <v>29</v>
      </c>
      <c r="H16" s="1" t="str">
        <f>IFERROR(VLOOKUP(Table7[[#This Row],[HSN Code]],Table4[#All],2,0),"")</f>
        <v>SmartWatch</v>
      </c>
      <c r="I16" s="8">
        <v>46023</v>
      </c>
      <c r="J16" s="1">
        <f>IFERROR(VLOOKUP(Table7[[#This Row],[HSN Code]],Table8[#All],6,0),"")</f>
        <v>5</v>
      </c>
      <c r="K16" s="1">
        <v>1</v>
      </c>
      <c r="L16" s="1">
        <f>IFERROR(VLOOKUP(Table7[[#This Row],[HSN Code]],Table4[#All],4,0),"")</f>
        <v>1176</v>
      </c>
      <c r="M16" s="1">
        <f>IFERROR(Table7[[#This Row],[Units]]*Table7[[#This Row],[Price]],"")</f>
        <v>1176</v>
      </c>
    </row>
    <row r="17" spans="5:13" x14ac:dyDescent="0.25">
      <c r="E17" s="1">
        <v>105</v>
      </c>
      <c r="F17" s="1" t="str">
        <f>IFERROR(VLOOKUP(Table7[[#This Row],[Cust_ID]],CustomersData[#All],2,0),"")</f>
        <v>Jain tel</v>
      </c>
      <c r="G17" s="1" t="s">
        <v>30</v>
      </c>
      <c r="H17" s="1" t="str">
        <f>IFERROR(VLOOKUP(Table7[[#This Row],[HSN Code]],Table4[#All],2,0),"")</f>
        <v>Laptop HP  i5</v>
      </c>
      <c r="I17" s="8">
        <v>46023</v>
      </c>
      <c r="J17" s="1">
        <f>IFERROR(VLOOKUP(Table7[[#This Row],[HSN Code]],Table8[#All],6,0),"")</f>
        <v>-2</v>
      </c>
      <c r="K17" s="1">
        <v>5</v>
      </c>
      <c r="L17" s="1">
        <f>IFERROR(VLOOKUP(Table7[[#This Row],[HSN Code]],Table4[#All],4,0),"")</f>
        <v>41400</v>
      </c>
      <c r="M17" s="1">
        <f>IFERROR(Table7[[#This Row],[Units]]*Table7[[#This Row],[Price]],"")</f>
        <v>207000</v>
      </c>
    </row>
    <row r="18" spans="5:13" x14ac:dyDescent="0.25">
      <c r="E18" s="1">
        <v>100</v>
      </c>
      <c r="F18" s="1" t="str">
        <f>IFERROR(VLOOKUP(Table7[[#This Row],[Cust_ID]],CustomersData[#All],2,0),"")</f>
        <v>Harsh</v>
      </c>
      <c r="G18" s="1" t="s">
        <v>31</v>
      </c>
      <c r="H18" s="1" t="str">
        <f>IFERROR(VLOOKUP(Table7[[#This Row],[HSN Code]],Table4[#All],2,0),"")</f>
        <v>Printer</v>
      </c>
      <c r="I18" s="8">
        <v>46023</v>
      </c>
      <c r="J18" s="1">
        <f>IFERROR(VLOOKUP(Table7[[#This Row],[HSN Code]],Table8[#All],6,0),"")</f>
        <v>-3</v>
      </c>
      <c r="K18" s="1">
        <v>6</v>
      </c>
      <c r="L18" s="1">
        <f>IFERROR(VLOOKUP(Table7[[#This Row],[HSN Code]],Table4[#All],4,0),"")</f>
        <v>5520</v>
      </c>
      <c r="M18" s="1">
        <f>IFERROR(Table7[[#This Row],[Units]]*Table7[[#This Row],[Price]],"")</f>
        <v>33120</v>
      </c>
    </row>
  </sheetData>
  <dataValidations count="2">
    <dataValidation type="list" allowBlank="1" showInputMessage="1" showErrorMessage="1" sqref="E9:E18" xr:uid="{9A438F7F-DE66-4302-8C55-A1F5023AE899}">
      <formula1>cid</formula1>
    </dataValidation>
    <dataValidation type="list" allowBlank="1" showInputMessage="1" showErrorMessage="1" sqref="G9:G18" xr:uid="{BDF29DD1-FC9A-4A39-AAD7-9D98B710AD24}">
      <formula1>hsncode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3A77-AF24-46FD-A0A8-0A7E6F6CB0A9}">
  <dimension ref="B5:L15"/>
  <sheetViews>
    <sheetView showGridLines="0" showRowColHeaders="0" workbookViewId="0"/>
  </sheetViews>
  <sheetFormatPr defaultRowHeight="15" x14ac:dyDescent="0.25"/>
  <cols>
    <col min="1" max="1" width="5.42578125" style="1" customWidth="1"/>
    <col min="2" max="2" width="18.5703125" style="2" customWidth="1"/>
    <col min="3" max="3" width="2" style="1" customWidth="1"/>
    <col min="4" max="4" width="15.5703125" style="1" customWidth="1"/>
    <col min="5" max="5" width="14.42578125" style="1" customWidth="1"/>
    <col min="6" max="6" width="15.7109375" style="1" customWidth="1"/>
    <col min="7" max="7" width="13" style="1" customWidth="1"/>
    <col min="8" max="8" width="14.28515625" style="1" customWidth="1"/>
    <col min="9" max="9" width="13.5703125" style="1" customWidth="1"/>
    <col min="10" max="10" width="15.28515625" style="1" customWidth="1"/>
    <col min="11" max="11" width="12" style="1" customWidth="1"/>
    <col min="12" max="12" width="47.140625" style="1" hidden="1" customWidth="1"/>
    <col min="13" max="16384" width="9.140625" style="1"/>
  </cols>
  <sheetData>
    <row r="5" spans="5:12" x14ac:dyDescent="0.25">
      <c r="E5" s="1" t="s">
        <v>25</v>
      </c>
      <c r="F5" s="1" t="s">
        <v>26</v>
      </c>
      <c r="G5" s="1" t="s">
        <v>27</v>
      </c>
      <c r="H5" s="1" t="s">
        <v>74</v>
      </c>
      <c r="I5" s="1" t="s">
        <v>75</v>
      </c>
      <c r="J5" s="1" t="s">
        <v>76</v>
      </c>
      <c r="K5" s="1" t="s">
        <v>77</v>
      </c>
      <c r="L5" s="1" t="s">
        <v>92</v>
      </c>
    </row>
    <row r="6" spans="5:12" x14ac:dyDescent="0.25">
      <c r="E6" s="1" t="str">
        <f>Product!E8</f>
        <v>N1001</v>
      </c>
      <c r="F6" s="1" t="str">
        <f>Product!F8</f>
        <v>SmartWatch</v>
      </c>
      <c r="G6" s="1">
        <f>Product!G8</f>
        <v>980</v>
      </c>
      <c r="H6" s="1">
        <f>SUMIF(PurchaseData[Product Name],Table8[[#This Row],[Product Name]],PurchaseData[Units])</f>
        <v>6</v>
      </c>
      <c r="I6" s="1">
        <f>SUMIF(Table7[Product Name],Table8[[#This Row],[Product Name]],Table7[Units])</f>
        <v>1</v>
      </c>
      <c r="J6" s="1">
        <f>Table8[[#This Row],[P Units]]-Table8[[#This Row],[S Units]]</f>
        <v>5</v>
      </c>
      <c r="K6" s="1">
        <f>IFERROR(Table8[[#This Row],[Cost]]*Table8[[#This Row],[Stock]],"")</f>
        <v>4900</v>
      </c>
      <c r="L6" s="7" t="str">
        <f>IFERROR(IF(J5&lt;5,"📞 "&amp;Table8[[#This Row],[Product Name]]&amp;" Needs  to re-order  ! PH "&amp;VLOOKUP(Table8[[#This Row],[HSN Code]],Table46[#All],4,0),""),"")</f>
        <v/>
      </c>
    </row>
    <row r="7" spans="5:12" x14ac:dyDescent="0.25">
      <c r="E7" s="1" t="str">
        <f>Product!E9</f>
        <v>N1002</v>
      </c>
      <c r="F7" s="1" t="str">
        <f>Product!F9</f>
        <v>Laptop HP  i5</v>
      </c>
      <c r="G7" s="1">
        <f>Product!G9</f>
        <v>34500</v>
      </c>
      <c r="H7" s="1">
        <f>SUMIF(PurchaseData[Product Name],Table8[[#This Row],[Product Name]],PurchaseData[Units])</f>
        <v>3</v>
      </c>
      <c r="I7" s="1">
        <f>SUMIF(Table7[Product Name],Table8[[#This Row],[Product Name]],Table7[Units])</f>
        <v>5</v>
      </c>
      <c r="J7" s="1">
        <f>Table8[[#This Row],[P Units]]-Table8[[#This Row],[S Units]]</f>
        <v>-2</v>
      </c>
      <c r="K7" s="1">
        <f>IFERROR(Table8[[#This Row],[Cost]]*Table8[[#This Row],[Stock]],"")</f>
        <v>-69000</v>
      </c>
      <c r="L7" s="7" t="str">
        <f>IFERROR(IF(J6&lt;5,"📞 "&amp;Table8[[#This Row],[Product Name]]&amp;" Needs  to re-order  ! PH "&amp;VLOOKUP(Table8[[#This Row],[HSN Code]],Table46[#All],4,0),""),"")</f>
        <v/>
      </c>
    </row>
    <row r="8" spans="5:12" x14ac:dyDescent="0.25">
      <c r="E8" s="1" t="str">
        <f>Product!E10</f>
        <v>N1003</v>
      </c>
      <c r="F8" s="1" t="str">
        <f>Product!F10</f>
        <v>Printer</v>
      </c>
      <c r="G8" s="1">
        <f>Product!G10</f>
        <v>4600</v>
      </c>
      <c r="H8" s="1">
        <f>SUMIF(PurchaseData[Product Name],Table8[[#This Row],[Product Name]],PurchaseData[Units])</f>
        <v>3</v>
      </c>
      <c r="I8" s="1">
        <f>SUMIF(Table7[Product Name],Table8[[#This Row],[Product Name]],Table7[Units])</f>
        <v>6</v>
      </c>
      <c r="J8" s="1">
        <f>Table8[[#This Row],[P Units]]-Table8[[#This Row],[S Units]]</f>
        <v>-3</v>
      </c>
      <c r="K8" s="1">
        <f>Table8[[#This Row],[Cost]]*Table8[[#This Row],[Stock]]</f>
        <v>-13800</v>
      </c>
      <c r="L8" s="7" t="str">
        <f>IFERROR(IF(J7&lt;5,"📞 "&amp;Table8[[#This Row],[Product Name]]&amp;" Needs  to re-order  ! PH "&amp;VLOOKUP(Table8[[#This Row],[HSN Code]],Table46[#All],4,0),""),"")</f>
        <v>📞 Printer Needs  to re-order  ! PH 9874561231</v>
      </c>
    </row>
    <row r="9" spans="5:12" x14ac:dyDescent="0.25">
      <c r="E9" s="1" t="str">
        <f>Product!E11</f>
        <v>N1004</v>
      </c>
      <c r="F9" s="1" t="str">
        <f>Product!F11</f>
        <v>Desktop</v>
      </c>
      <c r="G9" s="1">
        <f>Product!G11</f>
        <v>21000</v>
      </c>
      <c r="H9" s="1">
        <f>SUMIF(PurchaseData[Product Name],Table8[[#This Row],[Product Name]],PurchaseData[Units])</f>
        <v>16</v>
      </c>
      <c r="I9" s="1">
        <f>SUMIF(Table7[Product Name],Table8[[#This Row],[Product Name]],Table7[Units])</f>
        <v>4</v>
      </c>
      <c r="J9" s="1">
        <f>Table8[[#This Row],[P Units]]-Table8[[#This Row],[S Units]]</f>
        <v>12</v>
      </c>
      <c r="K9" s="1">
        <f>Table8[[#This Row],[Cost]]*Table8[[#This Row],[Stock]]</f>
        <v>252000</v>
      </c>
      <c r="L9" s="7" t="str">
        <f>IFERROR(IF(J8&lt;5,"📞 "&amp;Table8[[#This Row],[Product Name]]&amp;" Needs  to re-order  ! PH "&amp;VLOOKUP(Table8[[#This Row],[HSN Code]],Table46[#All],4,0),""),"")</f>
        <v>📞 Desktop Needs  to re-order  ! PH 9874561231</v>
      </c>
    </row>
    <row r="10" spans="5:12" x14ac:dyDescent="0.25">
      <c r="E10" s="1" t="str">
        <f>Product!E12</f>
        <v>N1005</v>
      </c>
      <c r="F10" s="1" t="str">
        <f>Product!F12</f>
        <v>Mouse</v>
      </c>
      <c r="G10" s="1">
        <f>Product!G12</f>
        <v>200</v>
      </c>
      <c r="H10" s="1">
        <f>SUMIF(PurchaseData[Product Name],Table8[[#This Row],[Product Name]],PurchaseData[Units])</f>
        <v>6</v>
      </c>
      <c r="I10" s="1">
        <f>SUMIF(Table7[Product Name],Table8[[#This Row],[Product Name]],Table7[Units])</f>
        <v>6</v>
      </c>
      <c r="J10" s="1">
        <f>Table8[[#This Row],[P Units]]-Table8[[#This Row],[S Units]]</f>
        <v>0</v>
      </c>
      <c r="K10" s="1">
        <f>Table8[[#This Row],[Cost]]*Table8[[#This Row],[Stock]]</f>
        <v>0</v>
      </c>
      <c r="L10" s="7" t="str">
        <f>IFERROR(IF(J9&lt;5,"📞 "&amp;Table8[[#This Row],[Product Name]]&amp;" Needs  to re-order  ! PH "&amp;VLOOKUP(Table8[[#This Row],[HSN Code]],Table46[#All],4,0),""),"")</f>
        <v/>
      </c>
    </row>
    <row r="11" spans="5:12" x14ac:dyDescent="0.25">
      <c r="E11" s="1" t="str">
        <f>Product!E13</f>
        <v>N1006</v>
      </c>
      <c r="F11" s="1" t="str">
        <f>Product!F13</f>
        <v>Keyboard</v>
      </c>
      <c r="G11" s="1">
        <f>Product!G13</f>
        <v>340</v>
      </c>
      <c r="H11" s="1">
        <f>SUMIF(PurchaseData[Product Name],Table8[[#This Row],[Product Name]],PurchaseData[Units])</f>
        <v>0</v>
      </c>
      <c r="I11" s="1">
        <f>SUMIF(Table7[Product Name],Table8[[#This Row],[Product Name]],Table7[Units])</f>
        <v>2</v>
      </c>
      <c r="J11" s="1">
        <f>Table8[[#This Row],[P Units]]-Table8[[#This Row],[S Units]]</f>
        <v>-2</v>
      </c>
      <c r="K11" s="1">
        <f>Table8[[#This Row],[Cost]]*Table8[[#This Row],[Stock]]</f>
        <v>-680</v>
      </c>
      <c r="L11" s="7" t="str">
        <f>IFERROR(IF(J10&lt;5,"📞 "&amp;Table8[[#This Row],[Product Name]]&amp;" Needs  to re-order  ! PH "&amp;VLOOKUP(Table8[[#This Row],[HSN Code]],Table46[#All],4,0),""),"")</f>
        <v>📞 Keyboard Needs  to re-order  ! PH 9874561231</v>
      </c>
    </row>
    <row r="12" spans="5:12" x14ac:dyDescent="0.25">
      <c r="E12" s="1" t="str">
        <f>Product!E14</f>
        <v>N1007</v>
      </c>
      <c r="F12" s="1" t="str">
        <f>Product!F14</f>
        <v>Camera</v>
      </c>
      <c r="G12" s="1">
        <f>Product!G14</f>
        <v>52000</v>
      </c>
      <c r="H12" s="1">
        <f>SUMIF(PurchaseData[Product Name],Table8[[#This Row],[Product Name]],PurchaseData[Units])</f>
        <v>0</v>
      </c>
      <c r="I12" s="1">
        <f>SUMIF(Table7[Product Name],Table8[[#This Row],[Product Name]],Table7[Units])</f>
        <v>5</v>
      </c>
      <c r="J12" s="1">
        <f>Table8[[#This Row],[P Units]]-Table8[[#This Row],[S Units]]</f>
        <v>-5</v>
      </c>
      <c r="K12" s="1">
        <f>Table8[[#This Row],[Cost]]*Table8[[#This Row],[Stock]]</f>
        <v>-260000</v>
      </c>
      <c r="L12" s="7" t="str">
        <f>IFERROR(IF(J11&lt;5,"📞 "&amp;Table8[[#This Row],[Product Name]]&amp;" Needs  to re-order  ! PH "&amp;VLOOKUP(Table8[[#This Row],[HSN Code]],Table46[#All],4,0),""),"")</f>
        <v>📞 Camera Needs  to re-order  ! PH 9874561231</v>
      </c>
    </row>
    <row r="13" spans="5:12" x14ac:dyDescent="0.25">
      <c r="E13" s="1" t="str">
        <f>Product!E15</f>
        <v>N1008</v>
      </c>
      <c r="F13" s="1" t="str">
        <f>Product!F15</f>
        <v>Headphone</v>
      </c>
      <c r="G13" s="1">
        <f>Product!G15</f>
        <v>799</v>
      </c>
      <c r="H13" s="1">
        <f>SUMIF(PurchaseData[Product Name],Table8[[#This Row],[Product Name]],PurchaseData[Units])</f>
        <v>7</v>
      </c>
      <c r="I13" s="1">
        <f>SUMIF(Table7[Product Name],Table8[[#This Row],[Product Name]],Table7[Units])</f>
        <v>2</v>
      </c>
      <c r="J13" s="1">
        <f>Table8[[#This Row],[P Units]]-Table8[[#This Row],[S Units]]</f>
        <v>5</v>
      </c>
      <c r="K13" s="1">
        <f>Table8[[#This Row],[Cost]]*Table8[[#This Row],[Stock]]</f>
        <v>3995</v>
      </c>
      <c r="L13" s="7" t="str">
        <f>IFERROR(IF(J12&lt;5,"📞 "&amp;Table8[[#This Row],[Product Name]]&amp;" Needs  to re-order  ! PH "&amp;VLOOKUP(Table8[[#This Row],[HSN Code]],Table46[#All],4,0),""),"")</f>
        <v>📞 Headphone Needs  to re-order  ! PH 9874561231</v>
      </c>
    </row>
    <row r="14" spans="5:12" x14ac:dyDescent="0.25">
      <c r="E14" s="1" t="str">
        <f>Product!E16</f>
        <v>N1009</v>
      </c>
      <c r="F14" s="1" t="str">
        <f>Product!F16</f>
        <v>Speaker</v>
      </c>
      <c r="G14" s="1">
        <f>Product!G16</f>
        <v>870</v>
      </c>
      <c r="H14" s="1">
        <f>SUMIF(PurchaseData[Product Name],Table8[[#This Row],[Product Name]],PurchaseData[Units])</f>
        <v>2</v>
      </c>
      <c r="I14" s="1">
        <f>SUMIF(Table7[Product Name],Table8[[#This Row],[Product Name]],Table7[Units])</f>
        <v>9</v>
      </c>
      <c r="J14" s="1">
        <f>Table8[[#This Row],[P Units]]-Table8[[#This Row],[S Units]]</f>
        <v>-7</v>
      </c>
      <c r="K14" s="1">
        <f>Table8[[#This Row],[Cost]]*Table8[[#This Row],[Stock]]</f>
        <v>-6090</v>
      </c>
      <c r="L14" s="7" t="str">
        <f>IFERROR(IF(J13&lt;5,"📞 "&amp;Table8[[#This Row],[Product Name]]&amp;" Needs  to re-order  ! PH "&amp;VLOOKUP(Table8[[#This Row],[HSN Code]],Table46[#All],4,0),""),"")</f>
        <v/>
      </c>
    </row>
    <row r="15" spans="5:12" x14ac:dyDescent="0.25">
      <c r="E15" s="1" t="str">
        <f>Product!E17</f>
        <v>N1010</v>
      </c>
      <c r="F15" s="1" t="str">
        <f>Product!F17</f>
        <v>Tablets</v>
      </c>
      <c r="G15" s="1">
        <f>Product!G17</f>
        <v>23500</v>
      </c>
      <c r="H15" s="1">
        <f>SUMIF(PurchaseData[Product Name],Table8[[#This Row],[Product Name]],PurchaseData[Units])</f>
        <v>0</v>
      </c>
      <c r="I15" s="1">
        <f>SUMIF(Table7[Product Name],Table8[[#This Row],[Product Name]],Table7[Units])</f>
        <v>0</v>
      </c>
      <c r="J15" s="1">
        <f>Table8[[#This Row],[P Units]]-Table8[[#This Row],[S Units]]</f>
        <v>0</v>
      </c>
      <c r="K15" s="1">
        <f>Table8[[#This Row],[Cost]]*Table8[[#This Row],[Stock]]</f>
        <v>0</v>
      </c>
      <c r="L15" s="7" t="str">
        <f>IFERROR(IF(J14&lt;5,"📞 "&amp;Table8[[#This Row],[Product Name]]&amp;" Needs  to re-order  ! PH "&amp;VLOOKUP(Table8[[#This Row],[HSN Code]],Table46[#All],4,0),""),"")</f>
        <v>📞 Tablets Needs  to re-order  ! PH 9874561231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2263F-C6E3-481B-B5C8-C764E43E8CB1}">
  <dimension ref="A2:G31"/>
  <sheetViews>
    <sheetView workbookViewId="0"/>
  </sheetViews>
  <sheetFormatPr defaultRowHeight="15" x14ac:dyDescent="0.25"/>
  <cols>
    <col min="1" max="1" width="13.140625" bestFit="1" customWidth="1"/>
    <col min="2" max="2" width="12.28515625" bestFit="1" customWidth="1"/>
    <col min="3" max="3" width="14.42578125" customWidth="1"/>
    <col min="6" max="6" width="13.140625" bestFit="1" customWidth="1"/>
    <col min="7" max="7" width="13.85546875" bestFit="1" customWidth="1"/>
  </cols>
  <sheetData>
    <row r="2" spans="1:7" x14ac:dyDescent="0.25">
      <c r="A2" t="s">
        <v>78</v>
      </c>
      <c r="C2" t="s">
        <v>79</v>
      </c>
      <c r="F2" s="11" t="s">
        <v>88</v>
      </c>
      <c r="G2" t="s">
        <v>90</v>
      </c>
    </row>
    <row r="3" spans="1:7" x14ac:dyDescent="0.25">
      <c r="A3" s="9">
        <v>7</v>
      </c>
      <c r="C3">
        <f>GETPIVOTDATA("Name",$A$2)</f>
        <v>7</v>
      </c>
      <c r="F3" s="12" t="s">
        <v>48</v>
      </c>
      <c r="G3" s="9">
        <v>9</v>
      </c>
    </row>
    <row r="4" spans="1:7" x14ac:dyDescent="0.25">
      <c r="F4" s="12" t="s">
        <v>45</v>
      </c>
      <c r="G4" s="9">
        <v>6</v>
      </c>
    </row>
    <row r="5" spans="1:7" x14ac:dyDescent="0.25">
      <c r="A5" t="s">
        <v>80</v>
      </c>
      <c r="C5" t="s">
        <v>81</v>
      </c>
      <c r="F5" s="12" t="s">
        <v>35</v>
      </c>
      <c r="G5" s="9">
        <v>6</v>
      </c>
    </row>
    <row r="6" spans="1:7" x14ac:dyDescent="0.25">
      <c r="A6" s="9">
        <v>10</v>
      </c>
      <c r="C6">
        <f>GETPIVOTDATA("Product Name",$A$5)</f>
        <v>10</v>
      </c>
      <c r="F6" s="12" t="s">
        <v>44</v>
      </c>
      <c r="G6" s="9">
        <v>5</v>
      </c>
    </row>
    <row r="7" spans="1:7" x14ac:dyDescent="0.25">
      <c r="F7" s="12" t="s">
        <v>38</v>
      </c>
      <c r="G7" s="9">
        <v>5</v>
      </c>
    </row>
    <row r="8" spans="1:7" x14ac:dyDescent="0.25">
      <c r="A8" t="s">
        <v>82</v>
      </c>
      <c r="C8" t="s">
        <v>83</v>
      </c>
      <c r="F8" s="12" t="s">
        <v>89</v>
      </c>
      <c r="G8" s="9">
        <v>31</v>
      </c>
    </row>
    <row r="9" spans="1:7" x14ac:dyDescent="0.25">
      <c r="A9" s="9">
        <v>467713</v>
      </c>
      <c r="C9" s="10">
        <f>GETPIVOTDATA("Amount",$A$8)</f>
        <v>467713</v>
      </c>
    </row>
    <row r="10" spans="1:7" x14ac:dyDescent="0.25">
      <c r="C10" s="10"/>
    </row>
    <row r="11" spans="1:7" x14ac:dyDescent="0.25">
      <c r="A11" t="s">
        <v>84</v>
      </c>
      <c r="C11" s="10" t="s">
        <v>85</v>
      </c>
      <c r="F11" s="11" t="s">
        <v>88</v>
      </c>
      <c r="G11" t="s">
        <v>84</v>
      </c>
    </row>
    <row r="12" spans="1:7" x14ac:dyDescent="0.25">
      <c r="A12" s="9">
        <v>665504</v>
      </c>
      <c r="C12" s="10">
        <f>GETPIVOTDATA("Discount",$A$11)</f>
        <v>665504</v>
      </c>
      <c r="F12" s="12" t="s">
        <v>10</v>
      </c>
      <c r="G12" s="9">
        <v>312000</v>
      </c>
    </row>
    <row r="13" spans="1:7" x14ac:dyDescent="0.25">
      <c r="C13" s="10"/>
      <c r="F13" s="12" t="s">
        <v>7</v>
      </c>
      <c r="G13" s="9">
        <v>207000</v>
      </c>
    </row>
    <row r="14" spans="1:7" x14ac:dyDescent="0.25">
      <c r="A14" t="s">
        <v>86</v>
      </c>
      <c r="C14" s="10" t="s">
        <v>77</v>
      </c>
      <c r="F14" s="12" t="s">
        <v>5</v>
      </c>
      <c r="G14" s="9">
        <v>103212</v>
      </c>
    </row>
    <row r="15" spans="1:7" x14ac:dyDescent="0.25">
      <c r="A15" s="9">
        <v>-88675</v>
      </c>
      <c r="C15" s="10">
        <f>GETPIVOTDATA("Stock Amt",$A$14)</f>
        <v>-88675</v>
      </c>
      <c r="F15" s="12" t="s">
        <v>4</v>
      </c>
      <c r="G15" s="9">
        <v>35036</v>
      </c>
    </row>
    <row r="16" spans="1:7" x14ac:dyDescent="0.25">
      <c r="C16" s="10"/>
      <c r="F16" s="12" t="s">
        <v>8</v>
      </c>
      <c r="G16" s="9">
        <v>4824</v>
      </c>
    </row>
    <row r="17" spans="1:7" x14ac:dyDescent="0.25">
      <c r="C17" s="10" t="s">
        <v>87</v>
      </c>
      <c r="F17" s="12" t="s">
        <v>89</v>
      </c>
      <c r="G17" s="9">
        <v>662072</v>
      </c>
    </row>
    <row r="18" spans="1:7" x14ac:dyDescent="0.25">
      <c r="C18" s="10">
        <f>C15+C12-C9</f>
        <v>109116</v>
      </c>
    </row>
    <row r="20" spans="1:7" x14ac:dyDescent="0.25">
      <c r="A20" s="11" t="s">
        <v>88</v>
      </c>
      <c r="B20" t="s">
        <v>93</v>
      </c>
    </row>
    <row r="21" spans="1:7" x14ac:dyDescent="0.25">
      <c r="A21" s="12" t="s">
        <v>38</v>
      </c>
      <c r="B21" s="9">
        <v>-5</v>
      </c>
    </row>
    <row r="22" spans="1:7" x14ac:dyDescent="0.25">
      <c r="A22" s="12" t="s">
        <v>33</v>
      </c>
      <c r="B22" s="9">
        <v>12</v>
      </c>
    </row>
    <row r="23" spans="1:7" x14ac:dyDescent="0.25">
      <c r="A23" s="12" t="s">
        <v>47</v>
      </c>
      <c r="B23" s="9">
        <v>5</v>
      </c>
    </row>
    <row r="24" spans="1:7" x14ac:dyDescent="0.25">
      <c r="A24" s="12" t="s">
        <v>46</v>
      </c>
      <c r="B24" s="9">
        <v>-2</v>
      </c>
    </row>
    <row r="25" spans="1:7" x14ac:dyDescent="0.25">
      <c r="A25" s="12" t="s">
        <v>44</v>
      </c>
      <c r="B25" s="9">
        <v>-2</v>
      </c>
    </row>
    <row r="26" spans="1:7" x14ac:dyDescent="0.25">
      <c r="A26" s="12" t="s">
        <v>35</v>
      </c>
      <c r="B26" s="9">
        <v>0</v>
      </c>
    </row>
    <row r="27" spans="1:7" x14ac:dyDescent="0.25">
      <c r="A27" s="12" t="s">
        <v>45</v>
      </c>
      <c r="B27" s="9">
        <v>-3</v>
      </c>
    </row>
    <row r="28" spans="1:7" x14ac:dyDescent="0.25">
      <c r="A28" s="12" t="s">
        <v>43</v>
      </c>
      <c r="B28" s="9">
        <v>5</v>
      </c>
    </row>
    <row r="29" spans="1:7" x14ac:dyDescent="0.25">
      <c r="A29" s="12" t="s">
        <v>48</v>
      </c>
      <c r="B29" s="9">
        <v>-7</v>
      </c>
    </row>
    <row r="30" spans="1:7" x14ac:dyDescent="0.25">
      <c r="A30" s="12" t="s">
        <v>42</v>
      </c>
      <c r="B30" s="9">
        <v>0</v>
      </c>
    </row>
    <row r="31" spans="1:7" x14ac:dyDescent="0.25">
      <c r="A31" s="12" t="s">
        <v>89</v>
      </c>
      <c r="B31" s="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DashBoard </vt:lpstr>
      <vt:lpstr>Customers</vt:lpstr>
      <vt:lpstr>Product</vt:lpstr>
      <vt:lpstr>Vendors</vt:lpstr>
      <vt:lpstr>New Entry</vt:lpstr>
      <vt:lpstr>Purchase </vt:lpstr>
      <vt:lpstr>Sales</vt:lpstr>
      <vt:lpstr>Inventory</vt:lpstr>
      <vt:lpstr>Pivot</vt:lpstr>
      <vt:lpstr>cid</vt:lpstr>
      <vt:lpstr>hsncode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Vardhan Pandey</dc:creator>
  <cp:lastModifiedBy>Harsh Vardhan Pandey</cp:lastModifiedBy>
  <dcterms:created xsi:type="dcterms:W3CDTF">2026-07-24T10:12:43Z</dcterms:created>
  <dcterms:modified xsi:type="dcterms:W3CDTF">2026-07-25T17:49:12Z</dcterms:modified>
</cp:coreProperties>
</file>